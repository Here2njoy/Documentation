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="http://schemas.openxmlformats.org/spreadsheetml/2006/main" xmlns:r="http://schemas.openxmlformats.org/officeDocument/2006/relationships">
  <ns0:sheets>
    <ns0:sheet name="Plumbing Companies &gt;50K Cities" sheetId="1" r:id="rId1"/>
  </ns0:sheets>
</ns0:workbook>
</file>

<file path=xl/styles.xml><?xml version="1.0" encoding="utf-8"?>
<ns0:styleSheet xmlns:ns0="http://schemas.openxmlformats.org/spreadsheetml/2006/main" xmlns="http://schemas.openxmlformats.org/spreadsheetml/2006/main">
  <ns0:fonts count="2">
    <ns0:font>
      <ns0:sz val="11"/>
      <ns0:name val="Calibri"/>
    </ns0:font>
    <ns0:font>
      <ns0:sz val="11"/>
      <ns0:name val="Calibri"/>
      <ns0:color rgb="FF0563C1"/>
      <ns0:u/>
    </ns0:font>
  </ns0:fonts>
  <ns0:fills count="2">
    <ns0:fill/>
    <ns0:fill/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0" fontId="1" fillId="0" borderId="0" xfId="0"/>
  </ns0:cellXfs>
</ns0: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theme xmlns="http://schemas.openxmlformats.org/drawingml/2006/main"/>
</file>

<file path=xl/worksheets/sheet1.xml><?xml version="1.0" encoding="utf-8"?>
<ns0:worksheet xmlns:ns0="http://schemas.openxmlformats.org/spreadsheetml/2006/main" xmlns="http://schemas.openxmlformats.org/spreadsheetml/2006/main" xmlns:r="http://schemas.openxmlformats.org/officeDocument/2006/relationships">
  <ns0:sheetData>
    <ns0:row r="1">
      <ns0:c r="A1" t="inlineStr">
        <ns0:is>
          <ns0:t>City</ns0:t>
        </ns0:is>
      </ns0:c>
      <ns0:c r="B1" t="inlineStr">
        <ns0:is>
          <ns0:t>State</ns0:t>
        </ns0:is>
      </ns0:c>
      <ns0:c r="C1" t="inlineStr">
        <ns0:is>
          <ns0:t>Company</ns0:t>
        </ns0:is>
      </ns0:c>
      <ns0:c r="D1" t="inlineStr">
        <ns0:is>
          <ns0:t>Contact Phone</ns0:t>
        </ns0:is>
      </ns0:c>
      <ns0:c r="E1" t="inlineStr">
        <ns0:is>
          <ns0:t>Contact Email</ns0:t>
        </ns0:is>
      </ns0:c>
      <ns0:c r="F1" t="inlineStr">
        <ns0:is>
          <ns0:t>Address</ns0:t>
        </ns0:is>
      </ns0:c>
      <ns0:c r="G1" t="inlineStr">
        <ns0:is>
          <ns0:t>Star Rating</ns0:t>
        </ns0:is>
      </ns0:c>
      <ns0:c r="H1" t="inlineStr">
        <ns0:is>
          <ns0:t>USP</ns0:t>
        </ns0:is>
      </ns0:c>
      <ns0:c r="I1" t="inlineStr">
        <ns0:is>
          <ns0:t>Family Run Owner</ns0:t>
        </ns0:is>
      </ns0:c>
      <ns0:c r="J1" t="inlineStr">
        <ns0:is>
          <ns0:t>Company Webpage</ns0:t>
        </ns0:is>
      </ns0:c>
      <ns0:c r="K1" t="inlineStr">
        <ns0:is>
          <ns0:t>Largest Social Platform</ns0:t>
        </ns0:is>
      </ns0:c>
    </ns0:row>
    <ns0:row r="2">
      <ns0:c r="A2" t="inlineStr">
        <ns0:is>
          <ns0:t>Bentonville</ns0:t>
        </ns0:is>
      </ns0:c>
      <ns0:c r="B2" t="inlineStr">
        <ns0:is>
          <ns0:t>AR</ns0:t>
        </ns0:is>
      </ns0:c>
      <ns0:c r="C2" t="inlineStr">
        <ns0:is>
          <ns0:t>Smith Bros. Plumbing</ns0:t>
        </ns0:is>
      </ns0:c>
      <ns0:c r="D2" t="inlineStr">
        <ns0:is>
          <ns0:t>(479) 877-5803</ns0:t>
        </ns0:is>
      </ns0:c>
      <ns0:c r="F2" t="inlineStr">
        <ns0:is>
          <ns0:t>8816 W McNelly Rd</ns0:t>
        </ns0:is>
      </ns0:c>
      <ns0:c r="G2" t="inlineStr">
        <ns0:is>
          <ns0:t>4.9</ns0:t>
        </ns0:is>
      </ns0:c>
      <ns0:c r="J2" t="str" s="1">
        <ns0:f>HYPERLINK("https://www.callsmith.com/","https://www.callsmith.com/")</ns0:f>
      </ns0:c>
    </ns0:row>
    <ns0:row r="3">
      <ns0:c r="A3" t="inlineStr">
        <ns0:is>
          <ns0:t>Fayetteville</ns0:t>
        </ns0:is>
      </ns0:c>
      <ns0:c r="B3" t="inlineStr">
        <ns0:is>
          <ns0:t>AR</ns0:t>
        </ns0:is>
      </ns0:c>
      <ns0:c r="C3" t="inlineStr">
        <ns0:is>
          <ns0:t>Fayetteville Plumbing Services</ns0:t>
        </ns0:is>
      </ns0:c>
      <ns0:c r="D3" t="inlineStr">
        <ns0:is>
          <ns0:t>(479) 888-5522</ns0:t>
        </ns0:is>
      </ns0:c>
      <ns0:c r="F3" t="inlineStr">
        <ns0:is>
          <ns0:t>34 E Center St #4</ns0:t>
        </ns0:is>
      </ns0:c>
      <ns0:c r="G3" t="inlineStr">
        <ns0:is>
          <ns0:t>5.0</ns0:t>
        </ns0:is>
      </ns0:c>
      <ns0:c r="J3" t="str" s="1">
        <ns0:f>HYPERLINK("https://www.plumbingfayettevillear.com/","https://www.plumbingfayettevillear.com/")</ns0:f>
      </ns0:c>
    </ns0:row>
    <ns0:row r="4">
      <ns0:c r="A4" t="inlineStr">
        <ns0:is>
          <ns0:t>Rogers</ns0:t>
        </ns0:is>
      </ns0:c>
      <ns0:c r="B4" t="inlineStr">
        <ns0:is>
          <ns0:t>AR</ns0:t>
        </ns0:is>
      </ns0:c>
      <ns0:c r="C4" t="inlineStr">
        <ns0:is>
          <ns0:t>Kinty Jones Plumbing</ns0:t>
        </ns0:is>
      </ns0:c>
      <ns0:c r="D4" t="inlineStr">
        <ns0:is>
          <ns0:t>(479) 925-4186</ns0:t>
        </ns0:is>
      </ns0:c>
      <ns0:c r="F4" t="inlineStr">
        <ns0:is>
          <ns0:t>4530 NE Hudson Rd</ns0:t>
        </ns0:is>
      </ns0:c>
      <ns0:c r="G4" t="inlineStr">
        <ns0:is>
          <ns0:t>5.0</ns0:t>
        </ns0:is>
      </ns0:c>
      <ns0:c r="J4" t="str" s="1">
        <ns0:f>HYPERLINK("https://kintyjonesplumbing.com/","https://kintyjonesplumbing.com/")</ns0:f>
      </ns0:c>
    </ns0:row>
    <ns0:row r="5">
      <ns0:c r="A5" t="inlineStr">
        <ns0:is>
          <ns0:t>Springdale</ns0:t>
        </ns0:is>
      </ns0:c>
      <ns0:c r="B5" t="inlineStr">
        <ns0:is>
          <ns0:t>AR</ns0:t>
        </ns0:is>
      </ns0:c>
      <ns0:c r="C5" t="inlineStr">
        <ns0:is>
          <ns0:t>A Plus Plumbing of NWA</ns0:t>
        </ns0:is>
      </ns0:c>
      <ns0:c r="D5" t="inlineStr">
        <ns0:is>
          <ns0:t>(479) 408-4845</ns0:t>
        </ns0:is>
      </ns0:c>
      <ns0:c r="F5" t="inlineStr">
        <ns0:is>
          <ns0:t>284 Ranalli Ave</ns0:t>
        </ns0:is>
      </ns0:c>
      <ns0:c r="G5" t="inlineStr">
        <ns0:is>
          <ns0:t>4.9</ns0:t>
        </ns0:is>
      </ns0:c>
      <ns0:c r="J5" t="str" s="1">
        <ns0:f>HYPERLINK("https://aplusplumbingofnwa.com/","https://aplusplumbingofnwa.com/")</ns0:f>
      </ns0:c>
    </ns0:row>
    <ns0:row r="6">
      <ns0:c r="A6" t="inlineStr">
        <ns0:is>
          <ns0:t>Wilmington</ns0:t>
        </ns0:is>
      </ns0:c>
      <ns0:c r="B6" t="inlineStr">
        <ns0:is>
          <ns0:t>DE</ns0:t>
        </ns0:is>
      </ns0:c>
      <ns0:c r="C6" t="inlineStr">
        <ns0:is>
          <ns0:t>Benjamin Franklin Plumbing of Wilmington DE</ns0:t>
        </ns0:is>
      </ns0:c>
      <ns0:c r="D6" t="inlineStr">
        <ns0:is>
          <ns0:t>(302) 524-7437</ns0:t>
        </ns0:is>
      </ns0:c>
      <ns0:c r="F6" t="inlineStr">
        <ns0:is>
          <ns0:t>410 Meco Dr</ns0:t>
        </ns0:is>
      </ns0:c>
      <ns0:c r="G6" t="inlineStr">
        <ns0:is>
          <ns0:t>4.9</ns0:t>
        </ns0:is>
      </ns0:c>
      <ns0:c r="J6" t="str" s="1">
        <ns0:f>HYPERLINK("https://benjaminfranklinplumbing.com/wilmington-de/","https://benjaminfranklinplumbing.com/wilmington-de/")</ns0:f>
      </ns0:c>
    </ns0:row>
    <ns0:row r="7">
      <ns0:c r="A7" t="inlineStr">
        <ns0:is>
          <ns0:t>Boise</ns0:t>
        </ns0:is>
      </ns0:c>
      <ns0:c r="B7" t="inlineStr">
        <ns0:is>
          <ns0:t>ID</ns0:t>
        </ns0:is>
      </ns0:c>
      <ns0:c r="C7" t="inlineStr">
        <ns0:is>
          <ns0:t>Boise Family Plumbing LLC</ns0:t>
        </ns0:is>
      </ns0:c>
      <ns0:c r="D7" t="inlineStr">
        <ns0:is>
          <ns0:t>(208) 949-3307</ns0:t>
        </ns0:is>
      </ns0:c>
      <ns0:c r="F7" t="inlineStr">
        <ns0:is>
          <ns0:t>210 E 37th St #3, Boise, ID</ns0:t>
        </ns0:is>
      </ns0:c>
      <ns0:c r="G7" t="inlineStr">
        <ns0:is>
          <ns0:t>4.9</ns0:t>
        </ns0:is>
      </ns0:c>
      <ns0:c r="J7" t="str" s="1">
        <ns0:f>HYPERLINK("https://boisefamilyplumbing.com","boisefamilyplumbing.com")</ns0:f>
      </ns0:c>
    </ns0:row>
    <ns0:row r="8">
      <ns0:c r="A8" t="inlineStr">
        <ns0:is>
          <ns0:t>Nampa</ns0:t>
        </ns0:is>
      </ns0:c>
      <ns0:c r="B8" t="inlineStr">
        <ns0:is>
          <ns0:t>ID</ns0:t>
        </ns0:is>
      </ns0:c>
      <ns0:c r="C8" t="inlineStr">
        <ns0:is>
          <ns0:t>Dillon Plumbing</ns0:t>
        </ns0:is>
      </ns0:c>
      <ns0:c r="D8" t="inlineStr">
        <ns0:is>
          <ns0:t>(208) 466-3707</ns0:t>
        </ns0:is>
      </ns0:c>
      <ns0:c r="F8" t="inlineStr">
        <ns0:is>
          <ns0:t>605 E Hawaii Ave</ns0:t>
        </ns0:is>
      </ns0:c>
      <ns0:c r="G8" t="inlineStr">
        <ns0:is>
          <ns0:t>4.9</ns0:t>
        </ns0:is>
      </ns0:c>
      <ns0:c r="J8" t="str" s="1">
        <ns0:f>HYPERLINK("http://www.dillonplumbing.com/","http://www.dillonplumbing.com/")</ns0:f>
      </ns0:c>
    </ns0:row>
    <ns0:row r="9">
      <ns0:c r="A9" t="inlineStr">
        <ns0:is>
          <ns0:t>Portland</ns0:t>
        </ns0:is>
      </ns0:c>
      <ns0:c r="B9" t="inlineStr">
        <ns0:is>
          <ns0:t>ME</ns0:t>
        </ns0:is>
      </ns0:c>
      <ns0:c r="C9" t="inlineStr">
        <ns0:is>
          <ns0:t>Heritage Home Service</ns0:t>
        </ns0:is>
      </ns0:c>
      <ns0:c r="D9" t="inlineStr">
        <ns0:is>
          <ns0:t>(207) 370-9533</ns0:t>
        </ns0:is>
      </ns0:c>
      <ns0:c r="F9" t="inlineStr">
        <ns0:is>
          <ns0:t>72 City Line Dr</ns0:t>
        </ns0:is>
      </ns0:c>
      <ns0:c r="G9" t="inlineStr">
        <ns0:is>
          <ns0:t>4.8</ns0:t>
        </ns0:is>
      </ns0:c>
      <ns0:c r="J9" t="str" s="1">
        <ns0:f>HYPERLINK("https://justcallheritage.com/service-area/portland-me/","https://justcallheritage.com/service-area/portland-me/")</ns0:f>
      </ns0:c>
    </ns0:row>
    <ns0:row r="10">
      <ns0:c r="A10" t="inlineStr">
        <ns0:is>
          <ns0:t>Columbia</ns0:t>
        </ns0:is>
      </ns0:c>
      <ns0:c r="B10" t="inlineStr">
        <ns0:is>
          <ns0:t>MO</ns0:t>
        </ns0:is>
      </ns0:c>
      <ns0:c r="C10" t="inlineStr">
        <ns0:is>
          <ns0:t>Brian Wear Plumbing &amp; Restoration</ns0:t>
        </ns0:is>
      </ns0:c>
      <ns0:c r="D10" t="inlineStr">
        <ns0:is>
          <ns0:t>(573) 864-4463</ns0:t>
        </ns0:is>
      </ns0:c>
      <ns0:c r="F10" t="inlineStr">
        <ns0:is>
          <ns0:t>2501 Rangeline St Suite B</ns0:t>
        </ns0:is>
      </ns0:c>
      <ns0:c r="G10" t="inlineStr">
        <ns0:is>
          <ns0:t>4.9</ns0:t>
        </ns0:is>
      </ns0:c>
      <ns0:c r="J10" t="str" s="1">
        <ns0:f>HYPERLINK("https://brianwearplumbing.com/","https://brianwearplumbing.com/")</ns0:f>
      </ns0:c>
    </ns0:row>
    <ns0:row r="11">
      <ns0:c r="A11" t="inlineStr">
        <ns0:is>
          <ns0:t>Joplin</ns0:t>
        </ns0:is>
      </ns0:c>
      <ns0:c r="B11" t="inlineStr">
        <ns0:is>
          <ns0:t>MO</ns0:t>
        </ns0:is>
      </ns0:c>
      <ns0:c r="C11" t="inlineStr">
        <ns0:is>
          <ns0:t>Next Generation Gaylen Plumbing</ns0:t>
        </ns0:is>
      </ns0:c>
      <ns0:c r="D11" t="inlineStr">
        <ns0:is>
          <ns0:t>(417) 781-5136</ns0:t>
        </ns0:is>
      </ns0:c>
      <ns0:c r="F11" t="inlineStr">
        <ns0:is>
          <ns0:t>2030 S Main St</ns0:t>
        </ns0:is>
      </ns0:c>
      <ns0:c r="G11" t="inlineStr">
        <ns0:is>
          <ns0:t>4.6</ns0:t>
        </ns0:is>
      </ns0:c>
      <ns0:c r="J11" t="str" s="1">
        <ns0:f>HYPERLINK("http://www.nextgenerationgaylen.com/","http://www.nextgenerationgaylen.com/")</ns0:f>
      </ns0:c>
    </ns0:row>
    <ns0:row r="12">
      <ns0:c r="A12" t="inlineStr">
        <ns0:is>
          <ns0:t>Springfield</ns0:t>
        </ns0:is>
      </ns0:c>
      <ns0:c r="B12" t="inlineStr">
        <ns0:is>
          <ns0:t>MO</ns0:t>
        </ns0:is>
      </ns0:c>
      <ns0:c r="C12" t="inlineStr">
        <ns0:is>
          <ns0:t>Junior's Plumbing LLC</ns0:t>
        </ns0:is>
      </ns0:c>
      <ns0:c r="D12" t="inlineStr">
        <ns0:is>
          <ns0:t>(417) 655-0536</ns0:t>
        </ns0:is>
      </ns0:c>
      <ns0:c r="F12" t="inlineStr">
        <ns0:is>
          <ns0:t>7325 E Division St</ns0:t>
        </ns0:is>
      </ns0:c>
      <ns0:c r="G12" t="inlineStr">
        <ns0:is>
          <ns0:t>4.9</ns0:t>
        </ns0:is>
      </ns0:c>
      <ns0:c r="J12" t="str" s="1">
        <ns0:f>HYPERLINK("https://juniorsplumbingmo.com/","https://juniorsplumbingmo.com/")</ns0:f>
      </ns0:c>
    </ns0:row>
    <ns0:row r="13">
      <ns0:c r="A13" t="inlineStr">
        <ns0:is>
          <ns0:t>St. Charles</ns0:t>
        </ns0:is>
      </ns0:c>
      <ns0:c r="B13" t="inlineStr">
        <ns0:is>
          <ns0:t>MO</ns0:t>
        </ns0:is>
      </ns0:c>
      <ns0:c r="C13" t="inlineStr">
        <ns0:is>
          <ns0:t>Pierson Plumbing Sewer &amp; Drain L.L.C</ns0:t>
        </ns0:is>
      </ns0:c>
      <ns0:c r="D13" t="inlineStr">
        <ns0:is>
          <ns0:t>(314) 691-8066</ns0:t>
        </ns0:is>
      </ns0:c>
      <ns0:c r="F13" t="inlineStr">
        <ns0:is>
          <ns0:t>500 Boone's Lick Rd Suite C Upper</ns0:t>
        </ns0:is>
      </ns0:c>
      <ns0:c r="G13" t="inlineStr">
        <ns0:is>
          <ns0:t>4.8</ns0:t>
        </ns0:is>
      </ns0:c>
      <ns0:c r="J13" t="str" s="1">
        <ns0:f>HYPERLINK("http://www.piersonplumbingstl.com/","http://www.piersonplumbingstl.com/")</ns0:f>
      </ns0:c>
    </ns0:row>
    <ns0:row r="14">
      <ns0:c r="A14" t="inlineStr">
        <ns0:is>
          <ns0:t>Gulfport</ns0:t>
        </ns0:is>
      </ns0:c>
      <ns0:c r="B14" t="inlineStr">
        <ns0:is>
          <ns0:t>MS</ns0:t>
        </ns0:is>
      </ns0:c>
      <ns0:c r="C14" t="inlineStr">
        <ns0:is>
          <ns0:t>A Royal Flush Plumbing Company</ns0:t>
        </ns0:is>
      </ns0:c>
      <ns0:c r="D14" t="inlineStr">
        <ns0:is>
          <ns0:t>(228) 867-9944</ns0:t>
        </ns0:is>
      </ns0:c>
      <ns0:c r="F14" t="inlineStr">
        <ns0:is>
          <ns0:t>12453 Canal Rd</ns0:t>
        </ns0:is>
      </ns0:c>
      <ns0:c r="G14" t="inlineStr">
        <ns0:is>
          <ns0:t>4.7</ns0:t>
        </ns0:is>
      </ns0:c>
      <ns0:c r="J14" t="str" s="1">
        <ns0:f>HYPERLINK("https://arfplumbing.com/","https://arfplumbing.com/")</ns0:f>
      </ns0:c>
    </ns0:row>
    <ns0:row r="15">
      <ns0:c r="A15" t="inlineStr">
        <ns0:is>
          <ns0:t>Jackson</ns0:t>
        </ns0:is>
      </ns0:c>
      <ns0:c r="B15" t="inlineStr">
        <ns0:is>
          <ns0:t>MS</ns0:t>
        </ns0:is>
      </ns0:c>
      <ns0:c r="C15" t="inlineStr">
        <ns0:is>
          <ns0:t>Mississippi Plumbing Solutions - Formerly Reid Plumbing</ns0:t>
        </ns0:is>
      </ns0:c>
      <ns0:c r="D15" t="inlineStr">
        <ns0:is>
          <ns0:t>(601) 850-1828</ns0:t>
        </ns0:is>
      </ns0:c>
      <ns0:c r="F15" t="inlineStr">
        <ns0:is>
          <ns0:t>1775 Lelia Dr A</ns0:t>
        </ns0:is>
      </ns0:c>
      <ns0:c r="G15" t="inlineStr">
        <ns0:is>
          <ns0:t>5.0</ns0:t>
        </ns0:is>
      </ns0:c>
      <ns0:c r="J15" t="str" s="1">
        <ns0:f>HYPERLINK("http://msplumbingsolutions.com/","http://msplumbingsolutions.com/")</ns0:f>
      </ns0:c>
    </ns0:row>
    <ns0:row r="16">
      <ns0:c r="A16" t="inlineStr">
        <ns0:is>
          <ns0:t>Billings</ns0:t>
        </ns0:is>
      </ns0:c>
      <ns0:c r="B16" t="inlineStr">
        <ns0:is>
          <ns0:t>MT</ns0:t>
        </ns0:is>
      </ns0:c>
      <ns0:c r="C16" t="inlineStr">
        <ns0:is>
          <ns0:t>Rimrock Plumbing</ns0:t>
        </ns0:is>
      </ns0:c>
      <ns0:c r="D16" t="inlineStr">
        <ns0:is>
          <ns0:t>(406) 855-7131</ns0:t>
        </ns0:is>
      </ns0:c>
      <ns0:c r="F16" t="inlineStr">
        <ns0:is>
          <ns0:t>3419 Central Ave Suite C</ns0:t>
        </ns0:is>
      </ns0:c>
      <ns0:c r="G16" t="inlineStr">
        <ns0:is>
          <ns0:t>5.0</ns0:t>
        </ns0:is>
      </ns0:c>
      <ns0:c r="J16" t="str" s="1">
        <ns0:f>HYPERLINK("http://rimrockplumbing.com/","http://rimrockplumbing.com/")</ns0:f>
      </ns0:c>
    </ns0:row>
    <ns0:row r="17">
      <ns0:c r="A17" t="inlineStr">
        <ns0:is>
          <ns0:t>Missoula</ns0:t>
        </ns0:is>
      </ns0:c>
      <ns0:c r="B17" t="inlineStr">
        <ns0:is>
          <ns0:t>MT</ns0:t>
        </ns0:is>
      </ns0:c>
      <ns0:c r="C17" t="inlineStr">
        <ns0:is>
          <ns0:t>Plumb-Tech Plumbing, Heating &amp; Drain Missoula</ns0:t>
        </ns0:is>
      </ns0:c>
      <ns0:c r="D17" t="inlineStr">
        <ns0:is>
          <ns0:t>(406) 233-0662</ns0:t>
        </ns0:is>
      </ns0:c>
      <ns0:c r="F17" t="inlineStr">
        <ns0:is>
          <ns0:t>1530 Livingston Ave</ns0:t>
        </ns0:is>
      </ns0:c>
      <ns0:c r="G17" t="inlineStr">
        <ns0:is>
          <ns0:t>4.9</ns0:t>
        </ns0:is>
      </ns0:c>
      <ns0:c r="J17" t="str" s="1">
        <ns0:f>HYPERLINK("https://plumbtechmt.com/","https://plumbtechmt.com/")</ns0:f>
      </ns0:c>
    </ns0:row>
    <ns0:row r="18">
      <ns0:c r="A18" t="inlineStr">
        <ns0:is>
          <ns0:t>Bismarck</ns0:t>
        </ns0:is>
      </ns0:c>
      <ns0:c r="B18" t="inlineStr">
        <ns0:is>
          <ns0:t>ND</ns0:t>
        </ns0:is>
      </ns0:c>
      <ns0:c r="C18" t="inlineStr">
        <ns0:is>
          <ns0:t>Timber Ridge Plumbing &amp; Heating</ns0:t>
        </ns0:is>
      </ns0:c>
      <ns0:c r="D18" t="inlineStr">
        <ns0:is>
          <ns0:t>(701) 289-3106</ns0:t>
        </ns0:is>
      </ns0:c>
      <ns0:c r="F18" t="inlineStr">
        <ns0:is>
          <ns0:t>1512 Basin Ave</ns0:t>
        </ns0:is>
      </ns0:c>
      <ns0:c r="G18" t="inlineStr">
        <ns0:is>
          <ns0:t>5.0</ns0:t>
        </ns0:is>
      </ns0:c>
      <ns0:c r="J18" t="str" s="1">
        <ns0:f>HYPERLINK("https://www.timberridgephnd.com/","https://www.timberridgephnd.com/")</ns0:f>
      </ns0:c>
    </ns0:row>
    <ns0:row r="19">
      <ns0:c r="A19" t="inlineStr">
        <ns0:is>
          <ns0:t>Fargo</ns0:t>
        </ns0:is>
      </ns0:c>
      <ns0:c r="B19" t="inlineStr">
        <ns0:is>
          <ns0:t>ND</ns0:t>
        </ns0:is>
      </ns0:c>
      <ns0:c r="C19" t="inlineStr">
        <ns0:is>
          <ns0:t>LEGACY PLUMBING &amp; HEATING</ns0:t>
        </ns0:is>
      </ns0:c>
      <ns0:c r="D19" t="inlineStr">
        <ns0:is>
          <ns0:t>(701) 306-3375</ns0:t>
        </ns0:is>
      </ns0:c>
      <ns0:c r="F19" t="inlineStr">
        <ns0:is>
          <ns0:t>3522 4th Ave S</ns0:t>
        </ns0:is>
      </ns0:c>
      <ns0:c r="G19" t="inlineStr">
        <ns0:is>
          <ns0:t>5.0</ns0:t>
        </ns0:is>
      </ns0:c>
      <ns0:c r="J19" t="str" s="1">
        <ns0:f>HYPERLINK("https://www.legacyplumbingfm.com/","https://www.legacyplumbingfm.com/")</ns0:f>
      </ns0:c>
    </ns0:row>
    <ns0:row r="20">
      <ns0:c r="A20" t="inlineStr">
        <ns0:is>
          <ns0:t>Manchester</ns0:t>
        </ns0:is>
      </ns0:c>
      <ns0:c r="B20" t="inlineStr">
        <ns0:is>
          <ns0:t>NH</ns0:t>
        </ns0:is>
      </ns0:c>
      <ns0:c r="C20" t="inlineStr">
        <ns0:is>
          <ns0:t>Paul The Plumber - Manchester</ns0:t>
        </ns0:is>
      </ns0:c>
      <ns0:c r="D20" t="inlineStr">
        <ns0:is>
          <ns0:t>(603) 437-7039</ns0:t>
        </ns0:is>
      </ns0:c>
      <ns0:c r="F20" t="inlineStr">
        <ns0:is>
          <ns0:t>1087 Elm St Suite 406</ns0:t>
        </ns0:is>
      </ns0:c>
      <ns0:c r="G20" t="inlineStr">
        <ns0:is>
          <ns0:t>4.8</ns0:t>
        </ns0:is>
      </ns0:c>
      <ns0:c r="J20" t="str" s="1">
        <ns0:f>HYPERLINK("https://www.paultheplumbernh.com/","https://www.paultheplumbernh.com/")</ns0:f>
      </ns0:c>
    </ns0:row>
    <ns0:row r="21">
      <ns0:c r="A21" t="inlineStr">
        <ns0:is>
          <ns0:t>Nashua</ns0:t>
        </ns0:is>
      </ns0:c>
      <ns0:c r="B21" t="inlineStr">
        <ns0:is>
          <ns0:t>NH</ns0:t>
        </ns0:is>
      </ns0:c>
      <ns0:c r="C21" t="inlineStr">
        <ns0:is>
          <ns0:t>Fagundes Plumbing Heating AC</ns0:t>
        </ns0:is>
      </ns0:c>
      <ns0:c r="D21" t="inlineStr">
        <ns0:is>
          <ns0:t>(603) 605-1919</ns0:t>
        </ns0:is>
      </ns0:c>
      <ns0:c r="F21" t="inlineStr">
        <ns0:is>
          <ns0:t>230 Amherst St Unit 103</ns0:t>
        </ns0:is>
      </ns0:c>
      <ns0:c r="G21" t="inlineStr">
        <ns0:is>
          <ns0:t>4.9</ns0:t>
        </ns0:is>
      </ns0:c>
      <ns0:c r="J21" t="str" s="1">
        <ns0:f>HYPERLINK("https://www.afphpro.com/","https://www.afphpro.com/")</ns0:f>
      </ns0:c>
    </ns0:row>
    <ns0:row r="22">
      <ns0:c r="A22" t="inlineStr">
        <ns0:is>
          <ns0:t>Jersey City</ns0:t>
        </ns0:is>
      </ns0:c>
      <ns0:c r="B22" t="inlineStr">
        <ns0:is>
          <ns0:t>NJ</ns0:t>
        </ns0:is>
      </ns0:c>
      <ns0:c r="C22" t="inlineStr">
        <ns0:is>
          <ns0:t>M&amp;A Plumbing &amp; Heating</ns0:t>
        </ns0:is>
      </ns0:c>
      <ns0:c r="D22" t="inlineStr">
        <ns0:is>
          <ns0:t>(551) 208-8366</ns0:t>
        </ns0:is>
      </ns0:c>
      <ns0:c r="F22" t="inlineStr">
        <ns0:is>
          <ns0:t>257 Dwight St</ns0:t>
        </ns0:is>
      </ns0:c>
      <ns0:c r="G22" t="inlineStr">
        <ns0:is>
          <ns0:t>4.9</ns0:t>
        </ns0:is>
      </ns0:c>
      <ns0:c r="J22" t="str" s="1">
        <ns0:f>HYPERLINK("https://business.google.com/v/m-a-plumbing-heating/0322610284500796106/8434/_?","https://business.google.com/v/m-a-plumbing-heating/0322610284500796106/8434/_?")</ns0:f>
      </ns0:c>
    </ns0:row>
    <ns0:row r="23">
      <ns0:c r="A23" t="inlineStr">
        <ns0:is>
          <ns0:t>Newark</ns0:t>
        </ns0:is>
      </ns0:c>
      <ns0:c r="B23" t="inlineStr">
        <ns0:is>
          <ns0:t>NJ</ns0:t>
        </ns0:is>
      </ns0:c>
      <ns0:c r="C23" t="inlineStr">
        <ns0:is>
          <ns0:t>Friends &amp; Family Plumbing and Heating</ns0:t>
        </ns0:is>
      </ns0:c>
      <ns0:c r="D23" t="inlineStr">
        <ns0:is>
          <ns0:t>(973) 955-6903</ns0:t>
        </ns0:is>
      </ns0:c>
      <ns0:c r="F23" t="inlineStr">
        <ns0:is>
          <ns0:t>28 Samuel Ave, Newark, NJ</ns0:t>
        </ns0:is>
      </ns0:c>
      <ns0:c r="G23" t="inlineStr">
        <ns0:is>
          <ns0:t>5.0</ns0:t>
        </ns0:is>
      </ns0:c>
      <ns0:c r="J23" t="str" s="1">
        <ns0:f>HYPERLINK("https://ffheatingplumbing.com","ffheatingplumbing.com")</ns0:f>
      </ns0:c>
    </ns0:row>
    <ns0:row r="24">
      <ns0:c r="A24" t="inlineStr">
        <ns0:is>
          <ns0:t>Albuquerque</ns0:t>
        </ns0:is>
      </ns0:c>
      <ns0:c r="B24" t="inlineStr">
        <ns0:is>
          <ns0:t>NM</ns0:t>
        </ns0:is>
      </ns0:c>
      <ns0:c r="C24" t="inlineStr">
        <ns0:is>
          <ns0:t>TLC Plumbing Heating Cooling Electrical</ns0:t>
        </ns0:is>
      </ns0:c>
      <ns0:c r="D24" t="inlineStr">
        <ns0:is>
          <ns0:t>(505) 761-9644</ns0:t>
        </ns0:is>
      </ns0:c>
      <ns0:c r="F24" t="inlineStr">
        <ns0:is>
          <ns0:t>5000 Edith Blvd NE, Albuquerque, NM</ns0:t>
        </ns0:is>
      </ns0:c>
      <ns0:c r="G24" t="inlineStr">
        <ns0:is>
          <ns0:t>4.8</ns0:t>
        </ns0:is>
      </ns0:c>
      <ns0:c r="J24" t="str" s="1">
        <ns0:f>HYPERLINK("https://tlcnm.com","tlcnm.com")</ns0:f>
      </ns0:c>
    </ns0:row>
    <ns0:row r="25">
      <ns0:c r="A25" t="inlineStr">
        <ns0:is>
          <ns0:t>Rio Rancho</ns0:t>
        </ns0:is>
      </ns0:c>
      <ns0:c r="B25" t="inlineStr">
        <ns0:is>
          <ns0:t>NM</ns0:t>
        </ns0:is>
      </ns0:c>
      <ns0:c r="C25" t="inlineStr">
        <ns0:is>
          <ns0:t>TLC Plumbing Heating Cooling Electrical</ns0:t>
        </ns0:is>
      </ns0:c>
      <ns0:c r="D25" t="inlineStr">
        <ns0:is>
          <ns0:t>(505) 891-2962</ns0:t>
        </ns0:is>
      </ns0:c>
      <ns0:c r="F25" t="inlineStr">
        <ns0:is>
          <ns0:t>506 Frontage Rd NE</ns0:t>
        </ns0:is>
      </ns0:c>
      <ns0:c r="G25" t="inlineStr">
        <ns0:is>
          <ns0:t>5.0</ns0:t>
        </ns0:is>
      </ns0:c>
      <ns0:c r="J25" t="str" s="1">
        <ns0:f>HYPERLINK("https://www.tlcplumbing.com/rio-rancho","https://www.tlcplumbing.com/rio-rancho")</ns0:f>
      </ns0:c>
    </ns0:row>
    <ns0:row r="26">
      <ns0:c r="A26" t="inlineStr">
        <ns0:is>
          <ns0:t>Santa Fe</ns0:t>
        </ns0:is>
      </ns0:c>
      <ns0:c r="B26" t="inlineStr">
        <ns0:is>
          <ns0:t>NM</ns0:t>
        </ns0:is>
      </ns0:c>
      <ns0:c r="C26" t="inlineStr">
        <ns0:is>
          <ns0:t>James Plumbing and Heating</ns0:t>
        </ns0:is>
      </ns0:c>
      <ns0:c r="D26" t="inlineStr">
        <ns0:is>
          <ns0:t>(505) 473-7148</ns0:t>
        </ns0:is>
      </ns0:c>
      <ns0:c r="F26" t="inlineStr">
        <ns0:is>
          <ns0:t>1159 Coriander Rd, Santa Fe, NM</ns0:t>
        </ns0:is>
      </ns0:c>
      <ns0:c r="G26" t="inlineStr">
        <ns0:is>
          <ns0:t>4.8</ns0:t>
        </ns0:is>
      </ns0:c>
      <ns0:c r="J26" t="str" s="1">
        <ns0:f>HYPERLINK("https://jamesplumbingandheating.com","jamesplumbingandheating.com")</ns0:f>
      </ns0:c>
    </ns0:row>
    <ns0:row r="27">
      <ns0:c r="A27" t="inlineStr">
        <ns0:is>
          <ns0:t>Charleston</ns0:t>
        </ns0:is>
      </ns0:c>
      <ns0:c r="B27" t="inlineStr">
        <ns0:is>
          <ns0:t>SC</ns0:t>
        </ns0:is>
      </ns0:c>
      <ns0:c r="C27" t="inlineStr">
        <ns0:is>
          <ns0:t>Plumb Easy</ns0:t>
        </ns0:is>
      </ns0:c>
      <ns0:c r="D27" t="inlineStr">
        <ns0:is>
          <ns0:t>(843) 270-3983</ns0:t>
        </ns0:is>
      </ns0:c>
      <ns0:c r="F27" t="inlineStr">
        <ns0:is>
          <ns0:t>1212 Wappoo Rd</ns0:t>
        </ns0:is>
      </ns0:c>
      <ns0:c r="G27" t="inlineStr">
        <ns0:is>
          <ns0:t>5.0</ns0:t>
        </ns0:is>
      </ns0:c>
      <ns0:c r="J27" t="str" s="1">
        <ns0:f>HYPERLINK("https://plumbeasy.com/","https://plumbeasy.com/")</ns0:f>
      </ns0:c>
    </ns0:row>
    <ns0:row r="28">
      <ns0:c r="A28" t="inlineStr">
        <ns0:is>
          <ns0:t>Columbia</ns0:t>
        </ns0:is>
      </ns0:c>
      <ns0:c r="B28" t="inlineStr">
        <ns0:is>
          <ns0:t>SC</ns0:t>
        </ns0:is>
      </ns0:c>
      <ns0:c r="C28" t="inlineStr">
        <ns0:is>
          <ns0:t>Franklin Plumbing &amp; Drain Cleaning</ns0:t>
        </ns0:is>
      </ns0:c>
      <ns0:c r="D28" t="inlineStr">
        <ns0:is>
          <ns0:t>(803) 515-7753</ns0:t>
        </ns0:is>
      </ns0:c>
      <ns0:c r="F28" t="inlineStr">
        <ns0:is>
          <ns0:t>3004 Millwood Ave</ns0:t>
        </ns0:is>
      </ns0:c>
      <ns0:c r="G28" t="inlineStr">
        <ns0:is>
          <ns0:t>4.9</ns0:t>
        </ns0:is>
      </ns0:c>
      <ns0:c r="J28" t="str" s="1">
        <ns0:f>HYPERLINK("https://www.franklinplumbingsc.com/","https://www.franklinplumbingsc.com/")</ns0:f>
      </ns0:c>
    </ns0:row>
    <ns0:row r="29">
      <ns0:c r="A29" t="inlineStr">
        <ns0:is>
          <ns0:t>Rapid City</ns0:t>
        </ns0:is>
      </ns0:c>
      <ns0:c r="B29" t="inlineStr">
        <ns0:is>
          <ns0:t>SD</ns0:t>
        </ns0:is>
      </ns0:c>
      <ns0:c r="C29" t="inlineStr">
        <ns0:is>
          <ns0:t>Loyal Plumbing Heating and Cooling</ns0:t>
        </ns0:is>
      </ns0:c>
      <ns0:c r="D29" t="inlineStr">
        <ns0:is>
          <ns0:t>(605) 315-3683</ns0:t>
        </ns0:is>
      </ns0:c>
      <ns0:c r="F29" t="inlineStr">
        <ns0:is>
          <ns0:t>814 E Omaha St</ns0:t>
        </ns0:is>
      </ns0:c>
      <ns0:c r="G29" t="inlineStr">
        <ns0:is>
          <ns0:t>4.9</ns0:t>
        </ns0:is>
      </ns0:c>
      <ns0:c r="J29" t="str" s="1">
        <ns0:f>HYPERLINK("https://www.loyalplumbing.com/","https://www.loyalplumbing.com/")</ns0:f>
      </ns0:c>
    </ns0:row>
    <ns0:row r="30">
      <ns0:c r="A30" t="inlineStr">
        <ns0:is>
          <ns0:t>Sioux Falls</ns0:t>
        </ns0:is>
      </ns0:c>
      <ns0:c r="B30" t="inlineStr">
        <ns0:is>
          <ns0:t>SD</ns0:t>
        </ns0:is>
      </ns0:c>
      <ns0:c r="C30" t="inlineStr">
        <ns0:is>
          <ns0:t>Sioux Falls Plumbing LLC.</ns0:t>
        </ns0:is>
      </ns0:c>
      <ns0:c r="D30" t="inlineStr">
        <ns0:is>
          <ns0:t>(605) 800-6537</ns0:t>
        </ns0:is>
      </ns0:c>
      <ns0:c r="F30" t="inlineStr">
        <ns0:is>
          <ns0:t>1508 E 32nd St</ns0:t>
        </ns0:is>
      </ns0:c>
      <ns0:c r="G30" t="inlineStr">
        <ns0:is>
          <ns0:t>4.9</ns0:t>
        </ns0:is>
      </ns0:c>
      <ns0:c r="J30" t="str" s="1">
        <ns0:f>HYPERLINK("http://siouxfalls-plumbing.com/","http://siouxfalls-plumbing.com/")</ns0:f>
      </ns0:c>
    </ns0:row>
    <ns0:row r="31">
      <ns0:c r="A31" t="inlineStr">
        <ns0:is>
          <ns0:t>Cheyenne</ns0:t>
        </ns0:is>
      </ns0:c>
      <ns0:c r="B31" t="inlineStr">
        <ns0:is>
          <ns0:t>WY</ns0:t>
        </ns0:is>
      </ns0:c>
      <ns0:c r="C31" t="inlineStr">
        <ns0:is>
          <ns0:t>Aspen Mountain Plumbing</ns0:t>
        </ns0:is>
      </ns0:c>
      <ns0:c r="D31" t="inlineStr">
        <ns0:is>
          <ns0:t>(307) 202-8919</ns0:t>
        </ns0:is>
      </ns0:c>
      <ns0:c r="F31" t="inlineStr">
        <ns0:is>
          <ns0:t>2404 E Lincolnway</ns0:t>
        </ns0:is>
      </ns0:c>
      <ns0:c r="G31" t="inlineStr">
        <ns0:is>
          <ns0:t>4.9</ns0:t>
        </ns0:is>
      </ns0:c>
      <ns0:c r="J31" t="str" s="1">
        <ns0:f>HYPERLINK("https://www.aspenmtnplumbing.com/plumbers-cheyenne-wy","https://www.aspenmtnplumbing.com/plumbers-cheyenne-wy")</ns0:f>
      </ns0:c>
    </ns0:row>
  </ns0:sheetData>
</ns0:worksheet>
</file>

<file path=docProps/app.xml><?xml version="1.0" encoding="utf-8"?>
<Properties xmlns="http://schemas.openxmlformats.org/officeDocument/2006/extended-properties">
  <Application>Hermes Agent</Application>
</Properties>
</file>

<file path=docProps/core.xml><?xml version="1.0" encoding="utf-8"?>
<cp:coreProperties xmlns:cp="http://schemas.openxmlformats.org/package/2006/metadata/core-properties" xmlns:dc="http://purl.org/dc/elements/1.1/">
  <dc:title>Family-Owned Plumbing - US Cities Over 50K</dc:title>
</cp:coreProperties>
</file>
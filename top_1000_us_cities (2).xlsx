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ns0:workbook xmlns:ns0="http://schemas.openxmlformats.org/spreadsheetml/2006/main" xmlns="http://schemas.openxmlformats.org/spreadsheetml/2006/main" xmlns:r="http://schemas.openxmlformats.org/officeDocument/2006/relationships">
  <ns0:sheets>
    <ns0:sheet name="Top 1000 US Cities" sheetId="1" r:id="rId1"/>
  </ns0:sheets>
</ns0:workbook>
</file>

<file path=xl/styles.xml><?xml version="1.0" encoding="utf-8"?>
<ns0:styleSheet xmlns:ns0="http://schemas.openxmlformats.org/spreadsheetml/2006/main" xmlns="http://schemas.openxmlformats.org/spreadsheetml/2006/main">
  <ns0:fonts count="2">
    <ns0:font>
      <ns0:sz val="11"/>
      <ns0:name val="Calibri"/>
    </ns0:font>
    <ns0:font>
      <ns0:sz val="11"/>
      <ns0:name val="Calibri"/>
      <ns0:color rgb="FF0563C1"/>
      <ns0:u/>
    </ns0:font>
  </ns0:fonts>
  <ns0:fills count="2">
    <ns0:fill/>
    <ns0:fill/>
  </ns0:fills>
  <ns0:borders count="1">
    <ns0:border/>
  </ns0:borders>
  <ns0:cellStyleXfs count="1">
    <ns0:xf numFmtId="0" fontId="0" fillId="0" borderId="0"/>
  </ns0:cellStyleXfs>
  <ns0:cellXfs count="2">
    <ns0:xf numFmtId="0" fontId="0" fillId="0" borderId="0" xfId="0"/>
    <ns0:xf numFmtId="0" fontId="1" fillId="0" borderId="0" xfId="0"/>
  </ns0:cellXfs>
</ns0: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/Relationships>
</file>

<file path=xl/theme/theme1.xml><?xml version="1.0" encoding="utf-8"?>
<theme xmlns="http://schemas.openxmlformats.org/drawingml/2006/main"/>
</file>

<file path=xl/worksheets/sheet1.xml><?xml version="1.0" encoding="utf-8"?>
<ns0:worksheet xmlns:ns0="http://schemas.openxmlformats.org/spreadsheetml/2006/main" xmlns="http://schemas.openxmlformats.org/spreadsheetml/2006/main" xmlns:r="http://schemas.openxmlformats.org/officeDocument/2006/relationships">
  <ns0:sheetData>
    <ns0:row r="1">
      <ns0:c r="A1" t="inlineStr">
        <ns0:is>
          <ns0:t>City</ns0:t>
        </ns0:is>
      </ns0:c>
      <ns0:c r="B1" t="inlineStr">
        <ns0:is>
          <ns0:t>State</ns0:t>
        </ns0:is>
      </ns0:c>
      <ns0:c r="C1" t="inlineStr">
        <ns0:is>
          <ns0:t>Company</ns0:t>
        </ns0:is>
      </ns0:c>
      <ns0:c r="D1" t="inlineStr">
        <ns0:is>
          <ns0:t>Contact Phone</ns0:t>
        </ns0:is>
      </ns0:c>
      <ns0:c r="E1" t="inlineStr">
        <ns0:is>
          <ns0:t>Contact Email</ns0:t>
        </ns0:is>
      </ns0:c>
      <ns0:c r="F1" t="inlineStr">
        <ns0:is>
          <ns0:t>Address</ns0:t>
        </ns0:is>
      </ns0:c>
      <ns0:c r="G1" t="inlineStr">
        <ns0:is>
          <ns0:t>Star Rating</ns0:t>
        </ns0:is>
      </ns0:c>
      <ns0:c r="H1" t="inlineStr">
        <ns0:is>
          <ns0:t>USP</ns0:t>
        </ns0:is>
      </ns0:c>
      <ns0:c r="I1" t="inlineStr">
        <ns0:is>
          <ns0:t>Family Run Owner</ns0:t>
        </ns0:is>
      </ns0:c>
      <ns0:c r="J1" t="inlineStr">
        <ns0:is>
          <ns0:t>Company Webpage</ns0:t>
        </ns0:is>
      </ns0:c>
      <ns0:c r="K1" t="inlineStr">
        <ns0:is>
          <ns0:t>Largest Social Platform</ns0:t>
        </ns0:is>
      </ns0:c>
    </ns0:row>
    <ns0:row r="2">
      <ns0:c r="A2" t="inlineStr">
        <ns0:is>
          <ns0:t>New York</ns0:t>
        </ns0:is>
      </ns0:c>
      <ns0:c r="B2" t="inlineStr">
        <ns0:is>
          <ns0:t>NY</ns0:t>
        </ns0:is>
      </ns0:c>
      <ns0:c r="C2" t="inlineStr">
        <ns0:is>
          <ns0:t>A Good Plumber Inc.</ns0:t>
        </ns0:is>
      </ns0:c>
      <ns0:c r="D2" t="inlineStr">
        <ns0:is>
          <ns0:t>(718) 648-6838</ns0:t>
        </ns0:is>
      </ns0:c>
      <ns0:c r="E2" t="inlineStr">
        <ns0:is>
          <ns0:t>info@agoodplumber.com</ns0:t>
        </ns0:is>
      </ns0:c>
      <ns0:c r="F2" t="inlineStr">
        <ns0:is>
          <ns0:t>2114 E 27th St, Brooklyn, NY 11229</ns0:t>
        </ns0:is>
      </ns0:c>
      <ns0:c r="G2" t="inlineStr">
        <ns0:is>
          <ns0:t>4.7/5 (Angi)</ns0:t>
        </ns0:is>
      </ns0:c>
      <ns0:c r="I2" t="inlineStr">
        <ns0:is>
          <ns0:t>YES</ns0:t>
        </ns0:is>
      </ns0:c>
      <ns0:c r="J2" t="str" s="1">
        <ns0:f>HYPERLINK("https://agoodplumber.com","agoodplumber.com")</ns0:f>
      </ns0:c>
      <ns0:c r="K2" t="inlineStr">
        <ns0:is>
          <ns0:t>LinkedIn</ns0:t>
        </ns0:is>
      </ns0:c>
    </ns0:row>
    <ns0:row r="3">
      <ns0:c r="A3" t="inlineStr">
        <ns0:is>
          <ns0:t>Los Angeles</ns0:t>
        </ns0:is>
      </ns0:c>
      <ns0:c r="B3" t="inlineStr">
        <ns0:is>
          <ns0:t>CA</ns0:t>
        </ns0:is>
      </ns0:c>
      <ns0:c r="C3" t="inlineStr">
        <ns0:is>
          <ns0:t>Advantage Plumbing &amp; Rooter</ns0:t>
        </ns0:is>
      </ns0:c>
      <ns0:c r="D3" t="inlineStr">
        <ns0:is>
          <ns0:t>(626) 956-3708</ns0:t>
        </ns0:is>
      </ns0:c>
      <ns0:c r="F3" t="inlineStr">
        <ns0:is>
          <ns0:t>2361 Barton Lane, Montrose, CA 91020</ns0:t>
        </ns0:is>
      </ns0:c>
      <ns0:c r="G3" t="inlineStr">
        <ns0:is>
          <ns0:t>5.0/5</ns0:t>
        </ns0:is>
      </ns0:c>
      <ns0:c r="I3" t="inlineStr">
        <ns0:is>
          <ns0:t>YES (27 yrs)</ns0:t>
        </ns0:is>
      </ns0:c>
      <ns0:c r="J3" t="str" s="1">
        <ns0:f>HYPERLINK("https://advantageplumbingrooter.com","advantageplumbingrooter.com")</ns0:f>
      </ns0:c>
      <ns0:c r="K3" t="inlineStr">
        <ns0:is>
          <ns0:t>Facebook</ns0:t>
        </ns0:is>
      </ns0:c>
    </ns0:row>
    <ns0:row r="4">
      <ns0:c r="A4" t="inlineStr">
        <ns0:is>
          <ns0:t>Chicago</ns0:t>
        </ns0:is>
      </ns0:c>
      <ns0:c r="B4" t="inlineStr">
        <ns0:is>
          <ns0:t>IL</ns0:t>
        </ns0:is>
      </ns0:c>
      <ns0:c r="C4" t="inlineStr">
        <ns0:is>
          <ns0:t>Jim Wagner Plumbing Inc.</ns0:t>
        </ns0:is>
      </ns0:c>
      <ns0:c r="D4" t="inlineStr">
        <ns0:is>
          <ns0:t>(630) 454-1510</ns0:t>
        </ns0:is>
      </ns0:c>
      <ns0:c r="F4" t="inlineStr">
        <ns0:is>
          <ns0:t>West Chicago, IL</ns0:t>
        </ns0:is>
      </ns0:c>
      <ns0:c r="G4" t="inlineStr">
        <ns0:is>
          <ns0:t>4.8/5 (1000+ reviews)</ns0:t>
        </ns0:is>
      </ns0:c>
      <ns0:c r="I4" t="inlineStr">
        <ns0:is>
          <ns0:t>YES (3rd gen)</ns0:t>
        </ns0:is>
      </ns0:c>
      <ns0:c r="J4" t="str" s="1">
        <ns0:f>HYPERLINK("https://jimwagnerplumbing.com","jimwagnerplumbing.com")</ns0:f>
      </ns0:c>
      <ns0:c r="K4" t="inlineStr">
        <ns0:is>
          <ns0:t>Google</ns0:t>
        </ns0:is>
      </ns0:c>
    </ns0:row>
    <ns0:row r="5">
      <ns0:c r="A5" t="inlineStr">
        <ns0:is>
          <ns0:t>Houston</ns0:t>
        </ns0:is>
      </ns0:c>
      <ns0:c r="B5" t="inlineStr">
        <ns0:is>
          <ns0:t>TX</ns0:t>
        </ns0:is>
      </ns0:c>
      <ns0:c r="C5" t="inlineStr">
        <ns0:is>
          <ns0:t>Texas Quality Plumbing</ns0:t>
        </ns0:is>
      </ns0:c>
      <ns0:c r="D5" t="inlineStr">
        <ns0:is>
          <ns0:t>(713) 385-0349</ns0:t>
        </ns0:is>
      </ns0:c>
      <ns0:c r="F5" t="inlineStr">
        <ns0:is>
          <ns0:t>Houston, TX</ns0:t>
        </ns0:is>
      </ns0:c>
      <ns0:c r="G5" t="inlineStr">
        <ns0:is>
          <ns0:t>4.9/5 (Best Pick)</ns0:t>
        </ns0:is>
      </ns0:c>
      <ns0:c r="I5" t="inlineStr">
        <ns0:is>
          <ns0:t>YES (2007)</ns0:t>
        </ns0:is>
      </ns0:c>
      <ns0:c r="J5" t="str" s="1">
        <ns0:f>HYPERLINK("https://texasqualityplumbing.com","texasqualityplumbing.com")</ns0:f>
      </ns0:c>
      <ns0:c r="K5" t="inlineStr">
        <ns0:is>
          <ns0:t>Google</ns0:t>
        </ns0:is>
      </ns0:c>
    </ns0:row>
    <ns0:row r="6">
      <ns0:c r="A6" t="inlineStr">
        <ns0:is>
          <ns0:t>Phoenix</ns0:t>
        </ns0:is>
      </ns0:c>
      <ns0:c r="B6" t="inlineStr">
        <ns0:is>
          <ns0:t>AZ</ns0:t>
        </ns0:is>
      </ns0:c>
      <ns0:c r="C6" t="inlineStr">
        <ns0:is>
          <ns0:t>Lawson Family Plumbing</ns0:t>
        </ns0:is>
      </ns0:c>
      <ns0:c r="D6" t="inlineStr">
        <ns0:is>
          <ns0:t>(602) 413-5790</ns0:t>
        </ns0:is>
      </ns0:c>
      <ns0:c r="F6" t="inlineStr">
        <ns0:is>
          <ns0:t>1497 E Baseline Rd, Gilbert, AZ 85233</ns0:t>
        </ns0:is>
      </ns0:c>
      <ns0:c r="G6" t="inlineStr">
        <ns0:is>
          <ns0:t>4.9/5 (1,547 reviews)</ns0:t>
        </ns0:is>
      </ns0:c>
      <ns0:c r="I6" t="inlineStr">
        <ns0:is>
          <ns0:t>YES</ns0:t>
        </ns0:is>
      </ns0:c>
      <ns0:c r="J6" t="str" s="1">
        <ns0:f>HYPERLINK("https://lawsonfamilyplumbing.com","lawsonfamilyplumbing.com")</ns0:f>
      </ns0:c>
      <ns0:c r="K6" t="inlineStr">
        <ns0:is>
          <ns0:t>Google</ns0:t>
        </ns0:is>
      </ns0:c>
    </ns0:row>
    <ns0:row r="7">
      <ns0:c r="A7" t="inlineStr">
        <ns0:is>
          <ns0:t>Philadelphia</ns0:t>
        </ns0:is>
      </ns0:c>
      <ns0:c r="B7" t="inlineStr">
        <ns0:is>
          <ns0:t>PA</ns0:t>
        </ns0:is>
      </ns0:c>
      <ns0:c r="C7" t="inlineStr">
        <ns0:is>
          <ns0:t>Goodman Plumbing</ns0:t>
        </ns0:is>
      </ns0:c>
      <ns0:c r="D7" t="inlineStr">
        <ns0:is>
          <ns0:t>(215) 364-7775</ns0:t>
        </ns0:is>
      </ns0:c>
      <ns0:c r="F7" t="inlineStr">
        <ns0:is>
          <ns0:t>Philadelphia &amp; Feasterville-Trevose, PA</ns0:t>
        </ns0:is>
      </ns0:c>
      <ns0:c r="G7" t="inlineStr">
        <ns0:is>
          <ns0:t>4.5+/5</ns0:t>
        </ns0:is>
      </ns0:c>
      <ns0:c r="I7" t="inlineStr">
        <ns0:is>
          <ns0:t>YES (60+ yrs, 2nd gen)</ns0:t>
        </ns0:is>
      </ns0:c>
      <ns0:c r="J7" t="str" s="1">
        <ns0:f>HYPERLINK("https://goodmanplumbers.com","goodmanplumbers.com")</ns0:f>
      </ns0:c>
      <ns0:c r="K7" t="inlineStr">
        <ns0:is>
          <ns0:t>Google</ns0:t>
        </ns0:is>
      </ns0:c>
    </ns0:row>
    <ns0:row r="8">
      <ns0:c r="A8" t="inlineStr">
        <ns0:is>
          <ns0:t>San Antonio</ns0:t>
        </ns0:is>
      </ns0:c>
      <ns0:c r="B8" t="inlineStr">
        <ns0:is>
          <ns0:t>TX</ns0:t>
        </ns0:is>
      </ns0:c>
      <ns0:c r="C8" t="inlineStr">
        <ns0:is>
          <ns0:t>Chambliss Plumbing</ns0:t>
        </ns0:is>
      </ns0:c>
      <ns0:c r="D8" t="inlineStr">
        <ns0:is>
          <ns0:t>(210) 797-7471</ns0:t>
        </ns0:is>
      </ns0:c>
      <ns0:c r="F8" t="inlineStr">
        <ns0:is>
          <ns0:t>San Antonio, TX</ns0:t>
        </ns0:is>
      </ns0:c>
      <ns0:c r="G8" t="inlineStr">
        <ns0:is>
          <ns0:t>5.0/5 (1,400+ reviews)</ns0:t>
        </ns0:is>
      </ns0:c>
      <ns0:c r="I8" t="inlineStr">
        <ns0:is>
          <ns0:t>YES (1991)</ns0:t>
        </ns0:is>
      </ns0:c>
      <ns0:c r="J8" t="str" s="1">
        <ns0:f>HYPERLINK("https://chamblissplumbing.com","chamblissplumbing.com")</ns0:f>
      </ns0:c>
      <ns0:c r="K8" t="inlineStr">
        <ns0:is>
          <ns0:t>Google</ns0:t>
        </ns0:is>
      </ns0:c>
    </ns0:row>
    <ns0:row r="9">
      <ns0:c r="A9" t="inlineStr">
        <ns0:is>
          <ns0:t>San Diego</ns0:t>
        </ns0:is>
      </ns0:c>
      <ns0:c r="B9" t="inlineStr">
        <ns0:is>
          <ns0:t>CA</ns0:t>
        </ns0:is>
      </ns0:c>
      <ns0:c r="C9" t="inlineStr">
        <ns0:is>
          <ns0:t>American Plumbing Co</ns0:t>
        </ns0:is>
      </ns0:c>
      <ns0:c r="D9" t="inlineStr">
        <ns0:is>
          <ns0:t>(619) 723-1114</ns0:t>
        </ns0:is>
      </ns0:c>
      <ns0:c r="E9" t="inlineStr">
        <ns0:is>
          <ns0:t>info@plumbersandiegoonline.com</ns0:t>
        </ns0:is>
      </ns0:c>
      <ns0:c r="F9" t="inlineStr">
        <ns0:is>
          <ns0:t>San Diego, CA</ns0:t>
        </ns0:is>
      </ns0:c>
      <ns0:c r="G9" t="inlineStr">
        <ns0:is>
          <ns0:t>5.0/5 (40+ years)</ns0:t>
        </ns0:is>
      </ns0:c>
      <ns0:c r="I9" t="inlineStr">
        <ns0:is>
          <ns0:t>YES</ns0:t>
        </ns0:is>
      </ns0:c>
      <ns0:c r="J9" t="str" s="1">
        <ns0:f>HYPERLINK("https://plumbersandiegoonline.com","plumbersandiegoonline.com")</ns0:f>
      </ns0:c>
      <ns0:c r="K9" t="inlineStr">
        <ns0:is>
          <ns0:t>Google/Yelp</ns0:t>
        </ns0:is>
      </ns0:c>
    </ns0:row>
    <ns0:row r="10">
      <ns0:c r="A10" t="inlineStr">
        <ns0:is>
          <ns0:t>Dallas</ns0:t>
        </ns0:is>
      </ns0:c>
      <ns0:c r="B10" t="inlineStr">
        <ns0:is>
          <ns0:t>TX</ns0:t>
        </ns0:is>
      </ns0:c>
      <ns0:c r="C10" t="inlineStr">
        <ns0:is>
          <ns0:t>Baker Brothers Plumbing</ns0:t>
        </ns0:is>
      </ns0:c>
      <ns0:c r="D10" t="inlineStr">
        <ns0:is>
          <ns0:t>(214) 324-8811</ns0:t>
        </ns0:is>
      </ns0:c>
      <ns0:c r="F10" t="inlineStr">
        <ns0:is>
          <ns0:t>Dallas/DFW, TX</ns0:t>
        </ns0:is>
      </ns0:c>
      <ns0:c r="G10" t="inlineStr">
        <ns0:is>
          <ns0:t>4.9/5 (24,000+ reviews)</ns0:t>
        </ns0:is>
      </ns0:c>
      <ns0:c r="I10" t="inlineStr">
        <ns0:is>
          <ns0:t>YES (80+ yrs)</ns0:t>
        </ns0:is>
      </ns0:c>
      <ns0:c r="J10" t="str" s="1">
        <ns0:f>HYPERLINK("https://bakerbrothersplumbing.com","bakerbrothersplumbing.com")</ns0:f>
      </ns0:c>
      <ns0:c r="K10" t="inlineStr">
        <ns0:is>
          <ns0:t>Google</ns0:t>
        </ns0:is>
      </ns0:c>
    </ns0:row>
    <ns0:row r="11">
      <ns0:c r="A11" t="inlineStr">
        <ns0:is>
          <ns0:t>San Jose</ns0:t>
        </ns0:is>
      </ns0:c>
      <ns0:c r="B11" t="inlineStr">
        <ns0:is>
          <ns0:t>CA</ns0:t>
        </ns0:is>
      </ns0:c>
      <ns0:c r="C11" t="inlineStr">
        <ns0:is>
          <ns0:t>San Jose Plumbing Inc.</ns0:t>
        </ns0:is>
      </ns0:c>
      <ns0:c r="D11" t="inlineStr">
        <ns0:is>
          <ns0:t>(408) 296-1820</ns0:t>
        </ns0:is>
      </ns0:c>
      <ns0:c r="F11" t="inlineStr">
        <ns0:is>
          <ns0:t>San Jose, CA</ns0:t>
        </ns0:is>
      </ns0:c>
      <ns0:c r="G11" t="inlineStr">
        <ns0:is>
          <ns0:t>4.8/5</ns0:t>
        </ns0:is>
      </ns0:c>
      <ns0:c r="I11" t="inlineStr">
        <ns0:is>
          <ns0:t>YES (30+ yrs)</ns0:t>
        </ns0:is>
      </ns0:c>
      <ns0:c r="J11" t="str" s="1">
        <ns0:f>HYPERLINK("https://sanjoseplumbinginc.com","sanjoseplumbinginc.com")</ns0:f>
      </ns0:c>
      <ns0:c r="K11" t="inlineStr">
        <ns0:is>
          <ns0:t>Google</ns0:t>
        </ns0:is>
      </ns0:c>
    </ns0:row>
    <ns0:row r="12">
      <ns0:c r="A12" t="inlineStr">
        <ns0:is>
          <ns0:t>Austin</ns0:t>
        </ns0:is>
      </ns0:c>
      <ns0:c r="B12" t="inlineStr">
        <ns0:is>
          <ns0:t>TX</ns0:t>
        </ns0:is>
      </ns0:c>
      <ns0:c r="C12" t="inlineStr">
        <ns0:is>
          <ns0:t>Austin's Best Plumbing</ns0:t>
        </ns0:is>
      </ns0:c>
      <ns0:c r="D12" t="inlineStr">
        <ns0:is>
          <ns0:t>(512) 377-9919</ns0:t>
        </ns0:is>
      </ns0:c>
      <ns0:c r="F12" t="inlineStr">
        <ns0:is>
          <ns0:t>Austin, TX</ns0:t>
        </ns0:is>
      </ns0:c>
      <ns0:c r="G12" t="inlineStr">
        <ns0:is>
          <ns0:t>4.8/5+</ns0:t>
        </ns0:is>
      </ns0:c>
      <ns0:c r="I12" t="inlineStr">
        <ns0:is>
          <ns0:t>YES (1978)</ns0:t>
        </ns0:is>
      </ns0:c>
      <ns0:c r="J12" t="str" s="1">
        <ns0:f>HYPERLINK("https://austinsgreatestplumbing.com","austinsgreatestplumbing.com")</ns0:f>
      </ns0:c>
      <ns0:c r="K12" t="inlineStr">
        <ns0:is>
          <ns0:t>Nextdoor</ns0:t>
        </ns0:is>
      </ns0:c>
    </ns0:row>
    <ns0:row r="13">
      <ns0:c r="A13" t="inlineStr">
        <ns0:is>
          <ns0:t>Denver</ns0:t>
        </ns0:is>
      </ns0:c>
      <ns0:c r="B13" t="inlineStr">
        <ns0:is>
          <ns0:t>CO</ns0:t>
        </ns0:is>
      </ns0:c>
      <ns0:c r="C13" t="inlineStr">
        <ns0:is>
          <ns0:t>Applewood Plumbing</ns0:t>
        </ns0:is>
      </ns0:c>
      <ns0:c r="D13" t="inlineStr">
        <ns0:is>
          <ns0:t>(303) 444-1633</ns0:t>
        </ns0:is>
      </ns0:c>
      <ns0:c r="F13" t="inlineStr">
        <ns0:is>
          <ns0:t>Denver/Boulder, CO</ns0:t>
        </ns0:is>
      </ns0:c>
      <ns0:c r="G13" t="inlineStr">
        <ns0:is>
          <ns0:t>4.7+/5</ns0:t>
        </ns0:is>
      </ns0:c>
      <ns0:c r="I13" t="inlineStr">
        <ns0:is>
          <ns0:t>YES (1973)</ns0:t>
        </ns0:is>
      </ns0:c>
      <ns0:c r="J13" t="str" s="1">
        <ns0:f>HYPERLINK("https://applewoodfixit.com","applewoodfixit.com")</ns0:f>
      </ns0:c>
      <ns0:c r="K13" t="inlineStr">
        <ns0:is>
          <ns0:t>Google</ns0:t>
        </ns0:is>
      </ns0:c>
    </ns0:row>
    <ns0:row r="14">
      <ns0:c r="A14" t="inlineStr">
        <ns0:is>
          <ns0:t>Seattle</ns0:t>
        </ns0:is>
      </ns0:c>
      <ns0:c r="B14" t="inlineStr">
        <ns0:is>
          <ns0:t>WA</ns0:t>
        </ns0:is>
      </ns0:c>
      <ns0:c r="C14" t="inlineStr">
        <ns0:is>
          <ns0:t>Ballard Plumbing</ns0:t>
        </ns0:is>
      </ns0:c>
      <ns0:c r="F14" t="inlineStr">
        <ns0:is>
          <ns0:t>Seattle, WA</ns0:t>
        </ns0:is>
      </ns0:c>
      <ns0:c r="G14" t="inlineStr">
        <ns0:is>
          <ns0:t>4.7+/5</ns0:t>
        </ns0:is>
      </ns0:c>
      <ns0:c r="I14" t="inlineStr">
        <ns0:is>
          <ns0:t>YES (family)</ns0:t>
        </ns0:is>
      </ns0:c>
      <ns0:c r="J14" t="str" s="1">
        <ns0:f>HYPERLINK("https://ballardplumbing.com","ballardplumbing.com")</ns0:f>
      </ns0:c>
      <ns0:c r="K14" t="inlineStr">
        <ns0:is>
          <ns0:t>Google</ns0:t>
        </ns0:is>
      </ns0:c>
    </ns0:row>
    <ns0:row r="15">
      <ns0:c r="A15" t="inlineStr">
        <ns0:is>
          <ns0:t>Boston</ns0:t>
        </ns0:is>
      </ns0:c>
      <ns0:c r="B15" t="inlineStr">
        <ns0:is>
          <ns0:t>MA</ns0:t>
        </ns0:is>
      </ns0:c>
      <ns0:c r="C15" t="inlineStr">
        <ns0:is>
          <ns0:t>Vaughan Plumbing &amp; Heating</ns0:t>
        </ns0:is>
      </ns0:c>
      <ns0:c r="D15" t="inlineStr">
        <ns0:is>
          <ns0:t>(781) 686-5049</ns0:t>
        </ns0:is>
      </ns0:c>
      <ns0:c r="E15" t="inlineStr">
        <ns0:is>
          <ns0:t>accounts@vaughanplumbing.com</ns0:t>
        </ns0:is>
      </ns0:c>
      <ns0:c r="F15" t="inlineStr">
        <ns0:is>
          <ns0:t>Boston, MA</ns0:t>
        </ns0:is>
      </ns0:c>
      <ns0:c r="G15" t="inlineStr">
        <ns0:is>
          <ns0:t>4.6+/5</ns0:t>
        </ns0:is>
      </ns0:c>
      <ns0:c r="I15" t="inlineStr">
        <ns0:is>
          <ns0:t>YES (100+ yrs)</ns0:t>
        </ns0:is>
      </ns0:c>
      <ns0:c r="J15" t="str" s="1">
        <ns0:f>HYPERLINK("https://vaughanplumbing.com","vaughanplumbing.com")</ns0:f>
      </ns0:c>
      <ns0:c r="K15" t="inlineStr">
        <ns0:is>
          <ns0:t>Google</ns0:t>
        </ns0:is>
      </ns0:c>
    </ns0:row>
    <ns0:row r="16">
      <ns0:c r="A16" t="inlineStr">
        <ns0:is>
          <ns0:t>Portland</ns0:t>
        </ns0:is>
      </ns0:c>
      <ns0:c r="B16" t="inlineStr">
        <ns0:is>
          <ns0:t>OR</ns0:t>
        </ns0:is>
      </ns0:c>
      <ns0:c r="C16" t="inlineStr">
        <ns0:is>
          <ns0:t>Service Plus Plumbing</ns0:t>
        </ns0:is>
      </ns0:c>
      <ns0:c r="D16" t="inlineStr">
        <ns0:is>
          <ns0:t>(503) 927-4482</ns0:t>
        </ns0:is>
      </ns0:c>
      <ns0:c r="F16" t="inlineStr">
        <ns0:is>
          <ns0:t>Portland, OR</ns0:t>
        </ns0:is>
      </ns0:c>
      <ns0:c r="G16" t="inlineStr">
        <ns0:is>
          <ns0:t>4.5+/5</ns0:t>
        </ns0:is>
      </ns0:c>
      <ns0:c r="I16" t="inlineStr">
        <ns0:is>
          <ns0:t>Family</ns0:t>
        </ns0:is>
      </ns0:c>
      <ns0:c r="J16" t="str" s="1">
        <ns0:f>HYPERLINK("https://serviceplusplumbing.com","serviceplusplumbing.com")</ns0:f>
      </ns0:c>
      <ns0:c r="K16" t="inlineStr">
        <ns0:is>
          <ns0:t>Google</ns0:t>
        </ns0:is>
      </ns0:c>
    </ns0:row>
    <ns0:row r="17">
      <ns0:c r="A17" t="inlineStr">
        <ns0:is>
          <ns0:t>Nashville</ns0:t>
        </ns0:is>
      </ns0:c>
      <ns0:c r="B17" t="inlineStr">
        <ns0:is>
          <ns0:t>TN</ns0:t>
        </ns0:is>
      </ns0:c>
      <ns0:c r="C17" t="inlineStr">
        <ns0:is>
          <ns0:t>Southern Plumbing Works</ns0:t>
        </ns0:is>
      </ns0:c>
      <ns0:c r="D17" t="inlineStr">
        <ns0:is>
          <ns0:t>(615) 205-7656</ns0:t>
        </ns0:is>
      </ns0:c>
      <ns0:c r="E17" t="inlineStr">
        <ns0:is>
          <ns0:t>jonathan@loftyrankings.com</ns0:t>
        </ns0:is>
      </ns0:c>
      <ns0:c r="F17" t="inlineStr">
        <ns0:is>
          <ns0:t>Nashville, TN</ns0:t>
        </ns0:is>
      </ns0:c>
      <ns0:c r="G17" t="inlineStr">
        <ns0:is>
          <ns0:t>4.8+/5</ns0:t>
        </ns0:is>
      </ns0:c>
      <ns0:c r="I17" t="inlineStr">
        <ns0:is>
          <ns0:t>YES</ns0:t>
        </ns0:is>
      </ns0:c>
      <ns0:c r="J17" t="str" s="1">
        <ns0:f>HYPERLINK("https://southernplumbingworks.com","southernplumbingworks.com")</ns0:f>
      </ns0:c>
      <ns0:c r="K17" t="inlineStr">
        <ns0:is>
          <ns0:t>Google</ns0:t>
        </ns0:is>
      </ns0:c>
    </ns0:row>
    <ns0:row r="18">
      <ns0:c r="A18" t="inlineStr">
        <ns0:is>
          <ns0:t>Charlotte</ns0:t>
        </ns0:is>
      </ns0:c>
      <ns0:c r="B18" t="inlineStr">
        <ns0:is>
          <ns0:t>NC</ns0:t>
        </ns0:is>
      </ns0:c>
      <ns0:c r="C18" t="inlineStr">
        <ns0:is>
          <ns0:t>WyattWorks Plumbing Charlotte</ns0:t>
        </ns0:is>
      </ns0:c>
      <ns0:c r="D18" t="inlineStr">
        <ns0:is>
          <ns0:t>(704) 825-5000</ns0:t>
        </ns0:is>
      </ns0:c>
      <ns0:c r="F18" t="inlineStr">
        <ns0:is>
          <ns0:t>Charlotte, NC</ns0:t>
        </ns0:is>
      </ns0:c>
      <ns0:c r="G18" t="inlineStr">
        <ns0:is>
          <ns0:t>4.7+/5</ns0:t>
        </ns0:is>
      </ns0:c>
      <ns0:c r="I18" t="inlineStr">
        <ns0:is>
          <ns0:t>YES (family)</ns0:t>
        </ns0:is>
      </ns0:c>
      <ns0:c r="J18" t="str" s="1">
        <ns0:f>HYPERLINK("https://wyattworksplumbing.com","wyattworksplumbing.com")</ns0:f>
      </ns0:c>
      <ns0:c r="K18" t="inlineStr">
        <ns0:is>
          <ns0:t>Google</ns0:t>
        </ns0:is>
      </ns0:c>
    </ns0:row>
    <ns0:row r="19">
      <ns0:c r="A19" t="inlineStr">
        <ns0:is>
          <ns0:t>Miami</ns0:t>
        </ns0:is>
      </ns0:c>
      <ns0:c r="B19" t="inlineStr">
        <ns0:is>
          <ns0:t>FL</ns0:t>
        </ns0:is>
      </ns0:c>
      <ns0:c r="C19" t="inlineStr">
        <ns0:is>
          <ns0:t>Miami Dade Plumbing</ns0:t>
        </ns0:is>
      </ns0:c>
      <ns0:c r="D19" t="inlineStr">
        <ns0:is>
          <ns0:t>(786) 756-3185</ns0:t>
        </ns0:is>
      </ns0:c>
      <ns0:c r="F19" t="inlineStr">
        <ns0:is>
          <ns0:t>Miami, FL</ns0:t>
        </ns0:is>
      </ns0:c>
      <ns0:c r="G19" t="inlineStr">
        <ns0:is>
          <ns0:t>4.6+/5</ns0:t>
        </ns0:is>
      </ns0:c>
      <ns0:c r="I19" t="inlineStr">
        <ns0:is>
          <ns0:t>YES</ns0:t>
        </ns0:is>
      </ns0:c>
      <ns0:c r="J19" t="str" s="1">
        <ns0:f>HYPERLINK("https://miamidadeplumbing.com","miamidadeplumbing.com")</ns0:f>
      </ns0:c>
      <ns0:c r="K19" t="inlineStr">
        <ns0:is>
          <ns0:t>Google</ns0:t>
        </ns0:is>
      </ns0:c>
    </ns0:row>
    <ns0:row r="20">
      <ns0:c r="A20" t="inlineStr">
        <ns0:is>
          <ns0:t>Atlanta</ns0:t>
        </ns0:is>
      </ns0:c>
      <ns0:c r="B20" t="inlineStr">
        <ns0:is>
          <ns0:t>GA</ns0:t>
        </ns0:is>
      </ns0:c>
      <ns0:c r="C20" t="inlineStr">
        <ns0:is>
          <ns0:t>Head's Plumbing Sales &amp; Service</ns0:t>
        </ns0:is>
      </ns0:c>
      <ns0:c r="D20" t="inlineStr">
        <ns0:is>
          <ns0:t>(404) 696-3175</ns0:t>
        </ns0:is>
      </ns0:c>
      <ns0:c r="F20" t="inlineStr">
        <ns0:is>
          <ns0:t>Atlanta, GA</ns0:t>
        </ns0:is>
      </ns0:c>
      <ns0:c r="G20" t="inlineStr">
        <ns0:is>
          <ns0:t>4.8+/5</ns0:t>
        </ns0:is>
      </ns0:c>
      <ns0:c r="I20" t="inlineStr">
        <ns0:is>
          <ns0:t>YES</ns0:t>
        </ns0:is>
      </ns0:c>
      <ns0:c r="J20" t="str" s="1">
        <ns0:f>HYPERLINK("https://headsplumbing.com","headsplumbing.com")</ns0:f>
      </ns0:c>
      <ns0:c r="K20" t="inlineStr">
        <ns0:is>
          <ns0:t>Google</ns0:t>
        </ns0:is>
      </ns0:c>
    </ns0:row>
    <ns0:row r="21">
      <ns0:c r="A21" t="inlineStr">
        <ns0:is>
          <ns0:t>Cincinnati</ns0:t>
        </ns0:is>
      </ns0:c>
      <ns0:c r="B21" t="inlineStr">
        <ns0:is>
          <ns0:t>OH</ns0:t>
        </ns0:is>
      </ns0:c>
      <ns0:c r="C21" t="inlineStr">
        <ns0:is>
          <ns0:t>Halpin Plumbing Inc</ns0:t>
        </ns0:is>
      </ns0:c>
      <ns0:c r="D21" t="inlineStr">
        <ns0:is>
          <ns0:t>(513) 790-6985</ns0:t>
        </ns0:is>
      </ns0:c>
      <ns0:c r="F21" t="inlineStr">
        <ns0:is>
          <ns0:t>Cincinnati, OH</ns0:t>
        </ns0:is>
      </ns0:c>
      <ns0:c r="G21" t="inlineStr">
        <ns0:is>
          <ns0:t>4.5+/5</ns0:t>
        </ns0:is>
      </ns0:c>
      <ns0:c r="I21" t="inlineStr">
        <ns0:is>
          <ns0:t>Family</ns0:t>
        </ns0:is>
      </ns0:c>
      <ns0:c r="J21" t="str" s="1">
        <ns0:f>HYPERLINK("https://halpinplumbing.com","halpinplumbing.com")</ns0:f>
      </ns0:c>
      <ns0:c r="K21" t="inlineStr">
        <ns0:is>
          <ns0:t>Google</ns0:t>
        </ns0:is>
      </ns0:c>
    </ns0:row>
    <ns0:row r="22">
      <ns0:c r="A22" t="inlineStr">
        <ns0:is>
          <ns0:t>Kansas City</ns0:t>
        </ns0:is>
      </ns0:c>
      <ns0:c r="B22" t="inlineStr">
        <ns0:is>
          <ns0:t>MO</ns0:t>
        </ns0:is>
      </ns0:c>
      <ns0:c r="C22" t="inlineStr">
        <ns0:is>
          <ns0:t>Stine-Nichols Plumbing</ns0:t>
        </ns0:is>
      </ns0:c>
      <ns0:c r="D22" t="inlineStr">
        <ns0:is>
          <ns0:t>(816) 348-3481</ns0:t>
        </ns0:is>
      </ns0:c>
      <ns0:c r="F22" t="inlineStr">
        <ns0:is>
          <ns0:t>Kansas City, MO</ns0:t>
        </ns0:is>
      </ns0:c>
      <ns0:c r="G22" t="inlineStr">
        <ns0:is>
          <ns0:t>4.7+/5</ns0:t>
        </ns0:is>
      </ns0:c>
      <ns0:c r="I22" t="inlineStr">
        <ns0:is>
          <ns0:t>YES</ns0:t>
        </ns0:is>
      </ns0:c>
      <ns0:c r="J22" t="str" s="1">
        <ns0:f>HYPERLINK("https://stinenichols.com","stinenichols.com")</ns0:f>
      </ns0:c>
      <ns0:c r="K22" t="inlineStr">
        <ns0:is>
          <ns0:t>Google</ns0:t>
        </ns0:is>
      </ns0:c>
    </ns0:row>
    <ns0:row r="23">
      <ns0:c r="A23" t="inlineStr">
        <ns0:is>
          <ns0:t>Omaha</ns0:t>
        </ns0:is>
      </ns0:c>
      <ns0:c r="B23" t="inlineStr">
        <ns0:is>
          <ns0:t>NE</ns0:t>
        </ns0:is>
      </ns0:c>
      <ns0:c r="C23" t="inlineStr">
        <ns0:is>
          <ns0:t>Grayson Plumbing</ns0:t>
        </ns0:is>
      </ns0:c>
      <ns0:c r="F23" t="inlineStr">
        <ns0:is>
          <ns0:t>Omaha, NE</ns0:t>
        </ns0:is>
      </ns0:c>
      <ns0:c r="G23" t="inlineStr">
        <ns0:is>
          <ns0:t>4.6+/5</ns0:t>
        </ns0:is>
      </ns0:c>
      <ns0:c r="I23" t="inlineStr">
        <ns0:is>
          <ns0:t>YES (family)</ns0:t>
        </ns0:is>
      </ns0:c>
      <ns0:c r="K23" t="inlineStr">
        <ns0:is>
          <ns0:t>Google</ns0:t>
        </ns0:is>
      </ns0:c>
    </ns0:row>
    <ns0:row r="24">
      <ns0:c r="A24" t="inlineStr">
        <ns0:is>
          <ns0:t>Fresno</ns0:t>
        </ns0:is>
      </ns0:c>
      <ns0:c r="B24" t="inlineStr">
        <ns0:is>
          <ns0:t>CA</ns0:t>
        </ns0:is>
      </ns0:c>
      <ns0:c r="C24" t="inlineStr">
        <ns0:is>
          <ns0:t>Clovis Plumbing</ns0:t>
        </ns0:is>
      </ns0:c>
      <ns0:c r="F24" t="inlineStr">
        <ns0:is>
          <ns0:t>Fresno, CA</ns0:t>
        </ns0:is>
      </ns0:c>
      <ns0:c r="G24" t="inlineStr">
        <ns0:is>
          <ns0:t>4.7+/5</ns0:t>
        </ns0:is>
      </ns0:c>
      <ns0:c r="I24" t="inlineStr">
        <ns0:is>
          <ns0:t>YES</ns0:t>
        </ns0:is>
      </ns0:c>
      <ns0:c r="J24" t="str" s="1">
        <ns0:f>HYPERLINK("https://clovisplumbing.com","clovisplumbing.com")</ns0:f>
      </ns0:c>
      <ns0:c r="K24" t="inlineStr">
        <ns0:is>
          <ns0:t>Google</ns0:t>
        </ns0:is>
      </ns0:c>
    </ns0:row>
    <ns0:row r="25">
      <ns0:c r="A25" t="inlineStr">
        <ns0:is>
          <ns0:t>Mesa</ns0:t>
        </ns0:is>
      </ns0:c>
      <ns0:c r="B25" t="inlineStr">
        <ns0:is>
          <ns0:t>AZ</ns0:t>
        </ns0:is>
      </ns0:c>
      <ns0:c r="C25" t="inlineStr">
        <ns0:is>
          <ns0:t>Goettl Plumbing</ns0:t>
        </ns0:is>
      </ns0:c>
      <ns0:c r="F25" t="inlineStr">
        <ns0:is>
          <ns0:t>Mesa, AZ</ns0:t>
        </ns0:is>
      </ns0:c>
      <ns0:c r="G25" t="inlineStr">
        <ns0:is>
          <ns0:t>4.5+/5</ns0:t>
        </ns0:is>
      </ns0:c>
      <ns0:c r="I25" t="inlineStr">
        <ns0:is>
          <ns0:t>YES (family)</ns0:t>
        </ns0:is>
      </ns0:c>
      <ns0:c r="J25" t="str" s="1">
        <ns0:f>HYPERLINK("https://goettl.com","goettl.com")</ns0:f>
      </ns0:c>
      <ns0:c r="K25" t="inlineStr">
        <ns0:is>
          <ns0:t>Google</ns0:t>
        </ns0:is>
      </ns0:c>
    </ns0:row>
    <ns0:row r="26">
      <ns0:c r="A26" t="inlineStr">
        <ns0:is>
          <ns0:t>Albuquerque</ns0:t>
        </ns0:is>
      </ns0:c>
      <ns0:c r="B26" t="inlineStr">
        <ns0:is>
          <ns0:t>NM</ns0:t>
        </ns0:is>
      </ns0:c>
      <ns0:c r="C26" t="inlineStr">
        <ns0:is>
          <ns0:t>Family Plumbing Heating &amp; Refrigeration</ns0:t>
        </ns0:is>
      </ns0:c>
      <ns0:c r="D26" t="inlineStr">
        <ns0:is>
          <ns0:t>(505) 803-3170</ns0:t>
        </ns0:is>
      </ns0:c>
      <ns0:c r="F26" t="inlineStr">
        <ns0:is>
          <ns0:t>Albuquerque, NM</ns0:t>
        </ns0:is>
      </ns0:c>
      <ns0:c r="G26" t="inlineStr">
        <ns0:is>
          <ns0:t>4.6+/5</ns0:t>
        </ns0:is>
      </ns0:c>
      <ns0:c r="I26" t="inlineStr">
        <ns0:is>
          <ns0:t>YES</ns0:t>
        </ns0:is>
      </ns0:c>
      <ns0:c r="J26" t="str" s="1">
        <ns0:f>HYPERLINK("https://familyplumbing.com","familyplumbing.com")</ns0:f>
      </ns0:c>
      <ns0:c r="K26" t="inlineStr">
        <ns0:is>
          <ns0:t>Google</ns0:t>
        </ns0:is>
      </ns0:c>
    </ns0:row>
    <ns0:row r="27">
      <ns0:c r="A27" t="inlineStr">
        <ns0:is>
          <ns0:t>Tucson</ns0:t>
        </ns0:is>
      </ns0:c>
      <ns0:c r="B27" t="inlineStr">
        <ns0:is>
          <ns0:t>AZ</ns0:t>
        </ns0:is>
      </ns0:c>
      <ns0:c r="C27" t="inlineStr">
        <ns0:is>
          <ns0:t>Jobe &amp; Sons Plumbing</ns0:t>
        </ns0:is>
      </ns0:c>
      <ns0:c r="D27" t="inlineStr">
        <ns0:is>
          <ns0:t>(520) 850-4552</ns0:t>
        </ns0:is>
      </ns0:c>
      <ns0:c r="E27" t="inlineStr">
        <ns0:is>
          <ns0:t>impallari@gmail.com</ns0:t>
        </ns0:is>
      </ns0:c>
      <ns0:c r="F27" t="inlineStr">
        <ns0:is>
          <ns0:t>Tucson, AZ</ns0:t>
        </ns0:is>
      </ns0:c>
      <ns0:c r="G27" t="inlineStr">
        <ns0:is>
          <ns0:t>4.7+/5</ns0:t>
        </ns0:is>
      </ns0:c>
      <ns0:c r="I27" t="inlineStr">
        <ns0:is>
          <ns0:t>YES</ns0:t>
        </ns0:is>
      </ns0:c>
      <ns0:c r="J27" t="str" s="1">
        <ns0:f>HYPERLINK("https://jobeandsonsplumbing.com","jobeandsonsplumbing.com")</ns0:f>
      </ns0:c>
      <ns0:c r="K27" t="inlineStr">
        <ns0:is>
          <ns0:t>Google</ns0:t>
        </ns0:is>
      </ns0:c>
    </ns0:row>
    <ns0:row r="28">
      <ns0:c r="A28" t="inlineStr">
        <ns0:is>
          <ns0:t>Long Beach</ns0:t>
        </ns0:is>
      </ns0:c>
      <ns0:c r="B28" t="inlineStr">
        <ns0:is>
          <ns0:t>CA</ns0:t>
        </ns0:is>
      </ns0:c>
      <ns0:c r="C28" t="inlineStr">
        <ns0:is>
          <ns0:t>The Family Plumber</ns0:t>
        </ns0:is>
      </ns0:c>
      <ns0:c r="D28" t="inlineStr">
        <ns0:is>
          <ns0:t>(562) 459-6445</ns0:t>
        </ns0:is>
      </ns0:c>
      <ns0:c r="E28" t="inlineStr">
        <ns0:is>
          <ns0:t>info@thefamilyplumber.com</ns0:t>
        </ns0:is>
      </ns0:c>
      <ns0:c r="F28" t="inlineStr">
        <ns0:is>
          <ns0:t>Long Beach, CA</ns0:t>
        </ns0:is>
      </ns0:c>
      <ns0:c r="G28" t="inlineStr">
        <ns0:is>
          <ns0:t>4.6+/5</ns0:t>
        </ns0:is>
      </ns0:c>
      <ns0:c r="I28" t="inlineStr">
        <ns0:is>
          <ns0:t>YES</ns0:t>
        </ns0:is>
      </ns0:c>
      <ns0:c r="J28" t="str" s="1">
        <ns0:f>HYPERLINK("https://thefamilyplumber.com","thefamilyplumber.com")</ns0:f>
      </ns0:c>
      <ns0:c r="K28" t="inlineStr">
        <ns0:is>
          <ns0:t>Google</ns0:t>
        </ns0:is>
      </ns0:c>
    </ns0:row>
    <ns0:row r="29">
      <ns0:c r="A29" t="inlineStr">
        <ns0:is>
          <ns0:t>Sacramento</ns0:t>
        </ns0:is>
      </ns0:c>
      <ns0:c r="B29" t="inlineStr">
        <ns0:is>
          <ns0:t>CA</ns0:t>
        </ns0:is>
      </ns0:c>
      <ns0:c r="C29" t="inlineStr">
        <ns0:is>
          <ns0:t>Armstrong Plumbing Inc</ns0:t>
        </ns0:is>
      </ns0:c>
      <ns0:c r="D29" t="inlineStr">
        <ns0:is>
          <ns0:t>(916) 461-8744</ns0:t>
        </ns0:is>
      </ns0:c>
      <ns0:c r="F29" t="inlineStr">
        <ns0:is>
          <ns0:t>Sacramento, CA</ns0:t>
        </ns0:is>
      </ns0:c>
      <ns0:c r="G29" t="inlineStr">
        <ns0:is>
          <ns0:t>4.7+/5</ns0:t>
        </ns0:is>
      </ns0:c>
      <ns0:c r="I29" t="inlineStr">
        <ns0:is>
          <ns0:t>YES</ns0:t>
        </ns0:is>
      </ns0:c>
      <ns0:c r="J29" t="str" s="1">
        <ns0:f>HYPERLINK("https://armstrongplumbing.com","armstrongplumbing.com")</ns0:f>
      </ns0:c>
      <ns0:c r="K29" t="inlineStr">
        <ns0:is>
          <ns0:t>Google</ns0:t>
        </ns0:is>
      </ns0:c>
    </ns0:row>
    <ns0:row r="30">
      <ns0:c r="A30" t="inlineStr">
        <ns0:is>
          <ns0:t>Raleigh</ns0:t>
        </ns0:is>
      </ns0:c>
      <ns0:c r="B30" t="inlineStr">
        <ns0:is>
          <ns0:t>NC</ns0:t>
        </ns0:is>
      </ns0:c>
      <ns0:c r="C30" t="inlineStr">
        <ns0:is>
          <ns0:t>William Parrish Plumbing</ns0:t>
        </ns0:is>
      </ns0:c>
      <ns0:c r="D30" t="inlineStr">
        <ns0:is>
          <ns0:t>(919) 343-0783</ns0:t>
        </ns0:is>
      </ns0:c>
      <ns0:c r="F30" t="inlineStr">
        <ns0:is>
          <ns0:t>Raleigh, NC</ns0:t>
        </ns0:is>
      </ns0:c>
      <ns0:c r="G30" t="inlineStr">
        <ns0:is>
          <ns0:t>4.7+/5</ns0:t>
        </ns0:is>
      </ns0:c>
      <ns0:c r="I30" t="inlineStr">
        <ns0:is>
          <ns0:t>YES</ns0:t>
        </ns0:is>
      </ns0:c>
      <ns0:c r="J30" t="str" s="1">
        <ns0:f>HYPERLINK("https://williamparrishplumbing.com","williamparrishplumbing.com")</ns0:f>
      </ns0:c>
      <ns0:c r="K30" t="inlineStr">
        <ns0:is>
          <ns0:t>Google</ns0:t>
        </ns0:is>
      </ns0:c>
    </ns0:row>
    <ns0:row r="31">
      <ns0:c r="A31" t="inlineStr">
        <ns0:is>
          <ns0:t>Tampa</ns0:t>
        </ns0:is>
      </ns0:c>
      <ns0:c r="B31" t="inlineStr">
        <ns0:is>
          <ns0:t>FL</ns0:t>
        </ns0:is>
      </ns0:c>
      <ns0:c r="C31" t="inlineStr">
        <ns0:is>
          <ns0:t>Olin Plumbing Inc.</ns0:t>
        </ns0:is>
      </ns0:c>
      <ns0:c r="D31" t="inlineStr">
        <ns0:is>
          <ns0:t>(813) 443-5820</ns0:t>
        </ns0:is>
      </ns0:c>
      <ns0:c r="E31" t="inlineStr">
        <ns0:is>
          <ns0:t>info@olinplumbinginc.com</ns0:t>
        </ns0:is>
      </ns0:c>
      <ns0:c r="F31" t="inlineStr">
        <ns0:is>
          <ns0:t>Tampa, FL</ns0:t>
        </ns0:is>
      </ns0:c>
      <ns0:c r="G31" t="inlineStr">
        <ns0:is>
          <ns0:t>4.8+/5</ns0:t>
        </ns0:is>
      </ns0:c>
      <ns0:c r="I31" t="inlineStr">
        <ns0:is>
          <ns0:t>YES (family)</ns0:t>
        </ns0:is>
      </ns0:c>
      <ns0:c r="J31" t="str" s="1">
        <ns0:f>HYPERLINK("https://olinplumbing.com","olinplumbing.com")</ns0:f>
      </ns0:c>
      <ns0:c r="K31" t="inlineStr">
        <ns0:is>
          <ns0:t>Google</ns0:t>
        </ns0:is>
      </ns0:c>
    </ns0:row>
    <ns0:row r="32">
      <ns0:c r="A32" t="inlineStr">
        <ns0:is>
          <ns0:t>Memphis</ns0:t>
        </ns0:is>
      </ns0:c>
      <ns0:c r="B32" t="inlineStr">
        <ns0:is>
          <ns0:t>TN</ns0:t>
        </ns0:is>
      </ns0:c>
      <ns0:c r="C32" t="inlineStr">
        <ns0:is>
          <ns0:t>Smith's Plumbing Services</ns0:t>
        </ns0:is>
      </ns0:c>
      <ns0:c r="D32" t="inlineStr">
        <ns0:is>
          <ns0:t>(901) 660-2009</ns0:t>
        </ns0:is>
      </ns0:c>
      <ns0:c r="F32" t="inlineStr">
        <ns0:is>
          <ns0:t>Memphis, TN</ns0:t>
        </ns0:is>
      </ns0:c>
      <ns0:c r="G32" t="inlineStr">
        <ns0:is>
          <ns0:t>4.8+/5</ns0:t>
        </ns0:is>
      </ns0:c>
      <ns0:c r="I32" t="inlineStr">
        <ns0:is>
          <ns0:t>YES (2011)</ns0:t>
        </ns0:is>
      </ns0:c>
      <ns0:c r="J32" t="str" s="1">
        <ns0:f>HYPERLINK("https://smithsplumbingservice.com","smithsplumbingservice.com")</ns0:f>
      </ns0:c>
      <ns0:c r="K32" t="inlineStr">
        <ns0:is>
          <ns0:t>Google</ns0:t>
        </ns0:is>
      </ns0:c>
    </ns0:row>
    <ns0:row r="33">
      <ns0:c r="A33" t="inlineStr">
        <ns0:is>
          <ns0:t>Louisville</ns0:t>
        </ns0:is>
      </ns0:c>
      <ns0:c r="B33" t="inlineStr">
        <ns0:is>
          <ns0:t>KY</ns0:t>
        </ns0:is>
      </ns0:c>
      <ns0:c r="C33" t="inlineStr">
        <ns0:is>
          <ns0:t>Bryant &amp; Sons Plumbing</ns0:t>
        </ns0:is>
      </ns0:c>
      <ns0:c r="D33" t="inlineStr">
        <ns0:is>
          <ns0:t>(812) 284-2109</ns0:t>
        </ns0:is>
      </ns0:c>
      <ns0:c r="F33" t="inlineStr">
        <ns0:is>
          <ns0:t>Louisville, KY</ns0:t>
        </ns0:is>
      </ns0:c>
      <ns0:c r="G33" t="inlineStr">
        <ns0:is>
          <ns0:t>4.7+/5</ns0:t>
        </ns0:is>
      </ns0:c>
      <ns0:c r="I33" t="inlineStr">
        <ns0:is>
          <ns0:t>YES (40+ yrs)</ns0:t>
        </ns0:is>
      </ns0:c>
      <ns0:c r="J33" t="str" s="1">
        <ns0:f>HYPERLINK("https://bryantsplumbingandwaterheaters.com","bryantsplumbingandwaterheaters.com")</ns0:f>
      </ns0:c>
      <ns0:c r="K33" t="inlineStr">
        <ns0:is>
          <ns0:t>Google</ns0:t>
        </ns0:is>
      </ns0:c>
    </ns0:row>
    <ns0:row r="34">
      <ns0:c r="A34" t="inlineStr">
        <ns0:is>
          <ns0:t>Baltimore</ns0:t>
        </ns0:is>
      </ns0:c>
      <ns0:c r="B34" t="inlineStr">
        <ns0:is>
          <ns0:t>MD</ns0:t>
        </ns0:is>
      </ns0:c>
      <ns0:c r="C34" t="inlineStr">
        <ns0:is>
          <ns0:t>Lyons Plumbing</ns0:t>
        </ns0:is>
      </ns0:c>
      <ns0:c r="D34" t="inlineStr">
        <ns0:is>
          <ns0:t>(301) 253-4090</ns0:t>
        </ns0:is>
      </ns0:c>
      <ns0:c r="F34" t="inlineStr">
        <ns0:is>
          <ns0:t>Baltimore, MD</ns0:t>
        </ns0:is>
      </ns0:c>
      <ns0:c r="G34" t="inlineStr">
        <ns0:is>
          <ns0:t>4.6+/5</ns0:t>
        </ns0:is>
      </ns0:c>
      <ns0:c r="I34" t="inlineStr">
        <ns0:is>
          <ns0:t>YES (1959)</ns0:t>
        </ns0:is>
      </ns0:c>
      <ns0:c r="J34" t="str" s="1">
        <ns0:f>HYPERLINK("https://lyonsplumbing.com","lyonsplumbing.com")</ns0:f>
      </ns0:c>
      <ns0:c r="K34" t="inlineStr">
        <ns0:is>
          <ns0:t>Google</ns0:t>
        </ns0:is>
      </ns0:c>
    </ns0:row>
    <ns0:row r="35">
      <ns0:c r="A35" t="inlineStr">
        <ns0:is>
          <ns0:t>Milwaukee</ns0:t>
        </ns0:is>
      </ns0:c>
      <ns0:c r="B35" t="inlineStr">
        <ns0:is>
          <ns0:t>WI</ns0:t>
        </ns0:is>
      </ns0:c>
      <ns0:c r="C35" t="inlineStr">
        <ns0:is>
          <ns0:t>J J's Plumbing Repair</ns0:t>
        </ns0:is>
      </ns0:c>
      <ns0:c r="D35" t="inlineStr">
        <ns0:is>
          <ns0:t>(262) 377-7161</ns0:t>
        </ns0:is>
      </ns0:c>
      <ns0:c r="F35" t="inlineStr">
        <ns0:is>
          <ns0:t>Milwaukee, WI</ns0:t>
        </ns0:is>
      </ns0:c>
      <ns0:c r="G35" t="inlineStr">
        <ns0:is>
          <ns0:t>4.7+/5</ns0:t>
        </ns0:is>
      </ns0:c>
      <ns0:c r="I35" t="inlineStr">
        <ns0:is>
          <ns0:t>YES (1985)</ns0:t>
        </ns0:is>
      </ns0:c>
      <ns0:c r="J35" t="str" s="1">
        <ns0:f>HYPERLINK("https://jjsplumbing.com","jjsplumbing.com")</ns0:f>
      </ns0:c>
      <ns0:c r="K35" t="inlineStr">
        <ns0:is>
          <ns0:t>Google</ns0:t>
        </ns0:is>
      </ns0:c>
    </ns0:row>
    <ns0:row r="36">
      <ns0:c r="A36" t="inlineStr">
        <ns0:is>
          <ns0:t>Albuquerque</ns0:t>
        </ns0:is>
      </ns0:c>
      <ns0:c r="B36" t="inlineStr">
        <ns0:is>
          <ns0:t>NM</ns0:t>
        </ns0:is>
      </ns0:c>
      <ns0:c r="C36" t="inlineStr">
        <ns0:is>
          <ns0:t>Family Plumbing Heating &amp; Refrigeration</ns0:t>
        </ns0:is>
      </ns0:c>
      <ns0:c r="D36" t="inlineStr">
        <ns0:is>
          <ns0:t>(505) 803-3170</ns0:t>
        </ns0:is>
      </ns0:c>
      <ns0:c r="F36" t="inlineStr">
        <ns0:is>
          <ns0:t>Albuquerque, NM</ns0:t>
        </ns0:is>
      </ns0:c>
      <ns0:c r="G36" t="inlineStr">
        <ns0:is>
          <ns0:t>4.6+/5</ns0:t>
        </ns0:is>
      </ns0:c>
      <ns0:c r="I36" t="inlineStr">
        <ns0:is>
          <ns0:t>YES</ns0:t>
        </ns0:is>
      </ns0:c>
      <ns0:c r="J36" t="str" s="1">
        <ns0:f>HYPERLINK("https://familyplumbing.com","familyplumbing.com")</ns0:f>
      </ns0:c>
      <ns0:c r="K36" t="inlineStr">
        <ns0:is>
          <ns0:t>Google</ns0:t>
        </ns0:is>
      </ns0:c>
    </ns0:row>
    <ns0:row r="37">
      <ns0:c r="A37" t="inlineStr">
        <ns0:is>
          <ns0:t>Tucson</ns0:t>
        </ns0:is>
      </ns0:c>
      <ns0:c r="B37" t="inlineStr">
        <ns0:is>
          <ns0:t>AZ</ns0:t>
        </ns0:is>
      </ns0:c>
      <ns0:c r="C37" t="inlineStr">
        <ns0:is>
          <ns0:t>Jobe &amp; Sons Plumbing</ns0:t>
        </ns0:is>
      </ns0:c>
      <ns0:c r="D37" t="inlineStr">
        <ns0:is>
          <ns0:t>(520) 850-4552</ns0:t>
        </ns0:is>
      </ns0:c>
      <ns0:c r="E37" t="inlineStr">
        <ns0:is>
          <ns0:t>impallari@gmail.com</ns0:t>
        </ns0:is>
      </ns0:c>
      <ns0:c r="F37" t="inlineStr">
        <ns0:is>
          <ns0:t>Tucson, AZ</ns0:t>
        </ns0:is>
      </ns0:c>
      <ns0:c r="G37" t="inlineStr">
        <ns0:is>
          <ns0:t>4.7+/5</ns0:t>
        </ns0:is>
      </ns0:c>
      <ns0:c r="I37" t="inlineStr">
        <ns0:is>
          <ns0:t>YES</ns0:t>
        </ns0:is>
      </ns0:c>
      <ns0:c r="J37" t="str" s="1">
        <ns0:f>HYPERLINK("https://jobeandsonsplumbing.com","jobeandsonsplumbing.com")</ns0:f>
      </ns0:c>
      <ns0:c r="K37" t="inlineStr">
        <ns0:is>
          <ns0:t>Google</ns0:t>
        </ns0:is>
      </ns0:c>
    </ns0:row>
    <ns0:row r="38">
      <ns0:c r="A38" t="inlineStr">
        <ns0:is>
          <ns0:t>Fresno</ns0:t>
        </ns0:is>
      </ns0:c>
      <ns0:c r="B38" t="inlineStr">
        <ns0:is>
          <ns0:t>CA</ns0:t>
        </ns0:is>
      </ns0:c>
      <ns0:c r="C38" t="inlineStr">
        <ns0:is>
          <ns0:t>Clovis Plumbing</ns0:t>
        </ns0:is>
      </ns0:c>
      <ns0:c r="F38" t="inlineStr">
        <ns0:is>
          <ns0:t>Fresno, CA</ns0:t>
        </ns0:is>
      </ns0:c>
      <ns0:c r="G38" t="inlineStr">
        <ns0:is>
          <ns0:t>4.7+/5</ns0:t>
        </ns0:is>
      </ns0:c>
      <ns0:c r="I38" t="inlineStr">
        <ns0:is>
          <ns0:t>YES</ns0:t>
        </ns0:is>
      </ns0:c>
      <ns0:c r="K38" t="inlineStr">
        <ns0:is>
          <ns0:t>Google</ns0:t>
        </ns0:is>
      </ns0:c>
    </ns0:row>
    <ns0:row r="39">
      <ns0:c r="A39" t="inlineStr">
        <ns0:is>
          <ns0:t>Saint Paul</ns0:t>
        </ns0:is>
      </ns0:c>
      <ns0:c r="B39" t="inlineStr">
        <ns0:is>
          <ns0:t>MN</ns0:t>
        </ns0:is>
      </ns0:c>
      <ns0:c r="C39" t="inlineStr">
        <ns0:is>
          <ns0:t>Kelly Plumbing &amp; Heating</ns0:t>
        </ns0:is>
      </ns0:c>
      <ns0:c r="D39" t="inlineStr">
        <ns0:is>
          <ns0:t>(651) 645-5401</ns0:t>
        </ns0:is>
      </ns0:c>
      <ns0:c r="F39" t="inlineStr">
        <ns0:is>
          <ns0:t>Saint Paul, MN</ns0:t>
        </ns0:is>
      </ns0:c>
      <ns0:c r="G39" t="inlineStr">
        <ns0:is>
          <ns0:t>4.7+/5</ns0:t>
        </ns0:is>
      </ns0:c>
      <ns0:c r="I39" t="inlineStr">
        <ns0:is>
          <ns0:t>YES (1973)</ns0:t>
        </ns0:is>
      </ns0:c>
      <ns0:c r="J39" t="str" s="1">
        <ns0:f>HYPERLINK("https://kellyplumbinginc.com","kellyplumbinginc.com")</ns0:f>
      </ns0:c>
      <ns0:c r="K39" t="inlineStr">
        <ns0:is>
          <ns0:t>Google</ns0:t>
        </ns0:is>
      </ns0:c>
    </ns0:row>
    <ns0:row r="40">
      <ns0:c r="A40" t="inlineStr">
        <ns0:is>
          <ns0:t>Arlington</ns0:t>
        </ns0:is>
      </ns0:c>
      <ns0:c r="B40" t="inlineStr">
        <ns0:is>
          <ns0:t>TX</ns0:t>
        </ns0:is>
      </ns0:c>
      <ns0:c r="C40" t="inlineStr">
        <ns0:is>
          <ns0:t>Family Friends Plumbing Service</ns0:t>
        </ns0:is>
      </ns0:c>
      <ns0:c r="D40" t="inlineStr">
        <ns0:is>
          <ns0:t>(817) 819-1471</ns0:t>
        </ns0:is>
      </ns0:c>
      <ns0:c r="E40" t="inlineStr">
        <ns0:is>
          <ns0:t>e7d54b729aaf49ea8b2f80dae22860aa@sentry.zipify.com</ns0:t>
        </ns0:is>
      </ns0:c>
      <ns0:c r="F40" t="inlineStr">
        <ns0:is>
          <ns0:t>Arlington, TX</ns0:t>
        </ns0:is>
      </ns0:c>
      <ns0:c r="G40" t="inlineStr">
        <ns0:is>
          <ns0:t>4.6+/5</ns0:t>
        </ns0:is>
      </ns0:c>
      <ns0:c r="I40" t="inlineStr">
        <ns0:is>
          <ns0:t>YES</ns0:t>
        </ns0:is>
      </ns0:c>
      <ns0:c r="J40" t="str" s="1">
        <ns0:f>HYPERLINK("https://familyfriends.com","familyfriends.com")</ns0:f>
      </ns0:c>
      <ns0:c r="K40" t="inlineStr">
        <ns0:is>
          <ns0:t>Google</ns0:t>
        </ns0:is>
      </ns0:c>
    </ns0:row>
    <ns0:row r="41">
      <ns0:c r="A41" t="inlineStr">
        <ns0:is>
          <ns0:t>New Orleans</ns0:t>
        </ns0:is>
      </ns0:c>
      <ns0:c r="B41" t="inlineStr">
        <ns0:is>
          <ns0:t>LA</ns0:t>
        </ns0:is>
      </ns0:c>
      <ns0:c r="C41" t="inlineStr">
        <ns0:is>
          <ns0:t>Noel's Plumbing, LLC.</ns0:t>
        </ns0:is>
      </ns0:c>
      <ns0:c r="D41" t="inlineStr">
        <ns0:is>
          <ns0:t>(504) 445-7222</ns0:t>
        </ns0:is>
      </ns0:c>
      <ns0:c r="F41" t="inlineStr">
        <ns0:is>
          <ns0:t>New Orleans, LA</ns0:t>
        </ns0:is>
      </ns0:c>
      <ns0:c r="G41" t="inlineStr">
        <ns0:is>
          <ns0:t>4.7+/5</ns0:t>
        </ns0:is>
      </ns0:c>
      <ns0:c r="I41" t="inlineStr">
        <ns0:is>
          <ns0:t>YES (1966)</ns0:t>
        </ns0:is>
      </ns0:c>
      <ns0:c r="K41" t="inlineStr">
        <ns0:is>
          <ns0:t>Google</ns0:t>
        </ns0:is>
      </ns0:c>
    </ns0:row>
    <ns0:row r="42">
      <ns0:c r="A42" t="inlineStr">
        <ns0:is>
          <ns0:t>Plano</ns0:t>
        </ns0:is>
      </ns0:c>
      <ns0:c r="B42" t="inlineStr">
        <ns0:is>
          <ns0:t>TX</ns0:t>
        </ns0:is>
      </ns0:c>
      <ns0:c r="C42" t="inlineStr">
        <ns0:is>
          <ns0:t>Plano Plumbing Pros</ns0:t>
        </ns0:is>
      </ns0:c>
      <ns0:c r="F42" t="inlineStr">
        <ns0:is>
          <ns0:t>Plano, TX</ns0:t>
        </ns0:is>
      </ns0:c>
      <ns0:c r="G42" t="inlineStr">
        <ns0:is>
          <ns0:t>4.6+/5</ns0:t>
        </ns0:is>
      </ns0:c>
      <ns0:c r="I42" t="inlineStr">
        <ns0:is>
          <ns0:t>YES</ns0:t>
        </ns0:is>
      </ns0:c>
      <ns0:c r="K42" t="inlineStr">
        <ns0:is>
          <ns0:t>Google</ns0:t>
        </ns0:is>
      </ns0:c>
    </ns0:row>
    <ns0:row r="43">
      <ns0:c r="A43" t="inlineStr">
        <ns0:is>
          <ns0:t>Jackson</ns0:t>
        </ns0:is>
      </ns0:c>
      <ns0:c r="B43" t="inlineStr">
        <ns0:is>
          <ns0:t>MS</ns0:t>
        </ns0:is>
      </ns0:c>
      <ns0:c r="C43" t="inlineStr">
        <ns0:is>
          <ns0:t>Jackson Plumbing Services</ns0:t>
        </ns0:is>
      </ns0:c>
      <ns0:c r="F43" t="inlineStr">
        <ns0:is>
          <ns0:t>Jackson, MS</ns0:t>
        </ns0:is>
      </ns0:c>
      <ns0:c r="G43" t="inlineStr">
        <ns0:is>
          <ns0:t>4.5+/5</ns0:t>
        </ns0:is>
      </ns0:c>
      <ns0:c r="I43" t="inlineStr">
        <ns0:is>
          <ns0:t>YES</ns0:t>
        </ns0:is>
      </ns0:c>
      <ns0:c r="K43" t="inlineStr">
        <ns0:is>
          <ns0:t>Google</ns0:t>
        </ns0:is>
      </ns0:c>
    </ns0:row>
    <ns0:row r="44">
      <ns0:c r="A44" t="inlineStr">
        <ns0:is>
          <ns0:t>Stockton</ns0:t>
        </ns0:is>
      </ns0:c>
      <ns0:c r="B44" t="inlineStr">
        <ns0:is>
          <ns0:t>CA</ns0:t>
        </ns0:is>
      </ns0:c>
      <ns0:c r="C44" t="inlineStr">
        <ns0:is>
          <ns0:t>Tony's Plumbing, Heating &amp; Air</ns0:t>
        </ns0:is>
      </ns0:c>
      <ns0:c r="D44" t="inlineStr">
        <ns0:is>
          <ns0:t>(209) 337-3788</ns0:t>
        </ns0:is>
      </ns0:c>
      <ns0:c r="F44" t="inlineStr">
        <ns0:is>
          <ns0:t>Stockton, CA</ns0:t>
        </ns0:is>
      </ns0:c>
      <ns0:c r="G44" t="inlineStr">
        <ns0:is>
          <ns0:t>4.6+/5</ns0:t>
        </ns0:is>
      </ns0:c>
      <ns0:c r="I44" t="inlineStr">
        <ns0:is>
          <ns0:t>YES</ns0:t>
        </ns0:is>
      </ns0:c>
      <ns0:c r="J44" t="str" s="1">
        <ns0:f>HYPERLINK("https://tonysplumbing.com","tonysplumbing.com")</ns0:f>
      </ns0:c>
      <ns0:c r="K44" t="inlineStr">
        <ns0:is>
          <ns0:t>Google</ns0:t>
        </ns0:is>
      </ns0:c>
    </ns0:row>
    <ns0:row r="45">
      <ns0:c r="A45" t="inlineStr">
        <ns0:is>
          <ns0:t>Saint Louis</ns0:t>
        </ns0:is>
      </ns0:c>
      <ns0:c r="B45" t="inlineStr">
        <ns0:is>
          <ns0:t>MO</ns0:t>
        </ns0:is>
      </ns0:c>
      <ns0:c r="C45" t="inlineStr">
        <ns0:is>
          <ns0:t>Tony LaMartina Plumbing</ns0:t>
        </ns0:is>
      </ns0:c>
      <ns0:c r="D45" t="inlineStr">
        <ns0:is>
          <ns0:t>(314) 965-9377</ns0:t>
        </ns0:is>
      </ns0:c>
      <ns0:c r="E45" t="inlineStr">
        <ns0:is>
          <ns0:t>pl_a_055-300x200@2x.jpeg</ns0:t>
        </ns0:is>
      </ns0:c>
      <ns0:c r="F45" t="inlineStr">
        <ns0:is>
          <ns0:t>Saint Louis, MO</ns0:t>
        </ns0:is>
      </ns0:c>
      <ns0:c r="G45" t="inlineStr">
        <ns0:is>
          <ns0:t>4.7+/5</ns0:t>
        </ns0:is>
      </ns0:c>
      <ns0:c r="I45" t="inlineStr">
        <ns0:is>
          <ns0:t>YES</ns0:t>
        </ns0:is>
      </ns0:c>
      <ns0:c r="J45" t="str" s="1">
        <ns0:f>HYPERLINK("https://tonylamartinaplumbing.com","tonylamartinaplumbing.com")</ns0:f>
      </ns0:c>
      <ns0:c r="K45" t="inlineStr">
        <ns0:is>
          <ns0:t>Google</ns0:t>
        </ns0:is>
      </ns0:c>
    </ns0:row>
    <ns0:row r="46">
      <ns0:c r="A46" t="inlineStr">
        <ns0:is>
          <ns0:t>Riverside</ns0:t>
        </ns0:is>
      </ns0:c>
      <ns0:c r="B46" t="inlineStr">
        <ns0:is>
          <ns0:t>CA</ns0:t>
        </ns0:is>
      </ns0:c>
      <ns0:c r="C46" t="inlineStr">
        <ns0:is>
          <ns0:t>Campbell Family Plumbing &amp; Electric</ns0:t>
        </ns0:is>
      </ns0:c>
      <ns0:c r="D46" t="inlineStr">
        <ns0:is>
          <ns0:t>(951) 363-2666</ns0:t>
        </ns0:is>
      </ns0:c>
      <ns0:c r="F46" t="inlineStr">
        <ns0:is>
          <ns0:t>Riverside, CA</ns0:t>
        </ns0:is>
      </ns0:c>
      <ns0:c r="G46" t="inlineStr">
        <ns0:is>
          <ns0:t>4.6+/5</ns0:t>
        </ns0:is>
      </ns0:c>
      <ns0:c r="I46" t="inlineStr">
        <ns0:is>
          <ns0:t>YES</ns0:t>
        </ns0:is>
      </ns0:c>
      <ns0:c r="K46" t="inlineStr">
        <ns0:is>
          <ns0:t>Google</ns0:t>
        </ns0:is>
      </ns0:c>
    </ns0:row>
    <ns0:row r="47">
      <ns0:c r="A47" t="inlineStr">
        <ns0:is>
          <ns0:t>Corpus Christi</ns0:t>
        </ns0:is>
      </ns0:c>
      <ns0:c r="B47" t="inlineStr">
        <ns0:is>
          <ns0:t>TX</ns0:t>
        </ns0:is>
      </ns0:c>
      <ns0:c r="C47" t="inlineStr">
        <ns0:is>
          <ns0:t>Dwain McCain Plumbing</ns0:t>
        </ns0:is>
      </ns0:c>
      <ns0:c r="D47" t="inlineStr">
        <ns0:is>
          <ns0:t>(361) 241-6000</ns0:t>
        </ns0:is>
      </ns0:c>
      <ns0:c r="E47" t="inlineStr">
        <ns0:is>
          <ns0:t>mccainplumbing@sbcglobal.net</ns0:t>
        </ns0:is>
      </ns0:c>
      <ns0:c r="F47" t="inlineStr">
        <ns0:is>
          <ns0:t>Corpus Christi, TX</ns0:t>
        </ns0:is>
      </ns0:c>
      <ns0:c r="G47" t="inlineStr">
        <ns0:is>
          <ns0:t>4.5+/5</ns0:t>
        </ns0:is>
      </ns0:c>
      <ns0:c r="I47" t="inlineStr">
        <ns0:is>
          <ns0:t>YES</ns0:t>
        </ns0:is>
      </ns0:c>
      <ns0:c r="J47" t="str" s="1">
        <ns0:f>HYPERLINK("https://dwainmccainplumbing.com","dwainmccainplumbing.com")</ns0:f>
      </ns0:c>
      <ns0:c r="K47" t="inlineStr">
        <ns0:is>
          <ns0:t>Google</ns0:t>
        </ns0:is>
      </ns0:c>
    </ns0:row>
    <ns0:row r="48">
      <ns0:c r="A48" t="inlineStr">
        <ns0:is>
          <ns0:t>Lexington</ns0:t>
        </ns0:is>
      </ns0:c>
      <ns0:c r="B48" t="inlineStr">
        <ns0:is>
          <ns0:t>KY</ns0:t>
        </ns0:is>
      </ns0:c>
      <ns0:c r="C48" t="inlineStr">
        <ns0:is>
          <ns0:t>Dauenhauer Plumbing</ns0:t>
        </ns0:is>
      </ns0:c>
      <ns0:c r="D48" t="inlineStr">
        <ns0:is>
          <ns0:t>(859) 559-0625</ns0:t>
        </ns0:is>
      </ns0:c>
      <ns0:c r="F48" t="inlineStr">
        <ns0:is>
          <ns0:t>Lexington, KY</ns0:t>
        </ns0:is>
      </ns0:c>
      <ns0:c r="G48" t="inlineStr">
        <ns0:is>
          <ns0:t>4.6+/5</ns0:t>
        </ns0:is>
      </ns0:c>
      <ns0:c r="I48" t="inlineStr">
        <ns0:is>
          <ns0:t>YES</ns0:t>
        </ns0:is>
      </ns0:c>
      <ns0:c r="J48" t="str" s="1">
        <ns0:f>HYPERLINK("https://dauenhauerplumbing.com","dauenhauerplumbing.com")</ns0:f>
      </ns0:c>
      <ns0:c r="K48" t="inlineStr">
        <ns0:is>
          <ns0:t>Google</ns0:t>
        </ns0:is>
      </ns0:c>
    </ns0:row>
    <ns0:row r="49">
      <ns0:c r="A49" t="inlineStr">
        <ns0:is>
          <ns0:t>Henderson</ns0:t>
        </ns0:is>
      </ns0:c>
      <ns0:c r="B49" t="inlineStr">
        <ns0:is>
          <ns0:t>NV</ns0:t>
        </ns0:is>
      </ns0:c>
      <ns0:c r="C49" t="inlineStr">
        <ns0:is>
          <ns0:t>Robinson Family Plumbing &amp; HVAC</ns0:t>
        </ns0:is>
      </ns0:c>
      <ns0:c r="D49" t="inlineStr">
        <ns0:is>
          <ns0:t>(725) 234-3100</ns0:t>
        </ns0:is>
      </ns0:c>
      <ns0:c r="F49" t="inlineStr">
        <ns0:is>
          <ns0:t>Henderson, NV</ns0:t>
        </ns0:is>
      </ns0:c>
      <ns0:c r="G49" t="inlineStr">
        <ns0:is>
          <ns0:t>4.6+/5</ns0:t>
        </ns0:is>
      </ns0:c>
      <ns0:c r="I49" t="inlineStr">
        <ns0:is>
          <ns0:t>YES</ns0:t>
        </ns0:is>
      </ns0:c>
      <ns0:c r="J49" t="str" s="1">
        <ns0:f>HYPERLINK("https://robinsonfamilyplumbinghvac.com","robinsonfamilyplumbinghvac.com")</ns0:f>
      </ns0:c>
      <ns0:c r="K49" t="inlineStr">
        <ns0:is>
          <ns0:t>Google</ns0:t>
        </ns0:is>
      </ns0:c>
    </ns0:row>
    <ns0:row r="50">
      <ns0:c r="A50" t="inlineStr">
        <ns0:is>
          <ns0:t>Anaheim</ns0:t>
        </ns0:is>
      </ns0:c>
      <ns0:c r="B50" t="inlineStr">
        <ns0:is>
          <ns0:t>CA</ns0:t>
        </ns0:is>
      </ns0:c>
      <ns0:c r="C50" t="inlineStr">
        <ns0:is>
          <ns0:t>Barker and Sons Plumbing &amp; Rooter</ns0:t>
        </ns0:is>
      </ns0:c>
      <ns0:c r="D50" t="inlineStr">
        <ns0:is>
          <ns0:t>(714) 667-7800</ns0:t>
        </ns0:is>
      </ns0:c>
      <ns0:c r="F50" t="inlineStr">
        <ns0:is>
          <ns0:t>Anaheim, CA</ns0:t>
        </ns0:is>
      </ns0:c>
      <ns0:c r="G50" t="inlineStr">
        <ns0:is>
          <ns0:t>4.7+/5</ns0:t>
        </ns0:is>
      </ns0:c>
      <ns0:c r="I50" t="inlineStr">
        <ns0:is>
          <ns0:t>YES</ns0:t>
        </ns0:is>
      </ns0:c>
      <ns0:c r="J50" t="str" s="1">
        <ns0:f>HYPERLINK("https://barkerandsonsplumbing.com","barkerandsonsplumbing.com")</ns0:f>
      </ns0:c>
      <ns0:c r="K50" t="inlineStr">
        <ns0:is>
          <ns0:t>Google</ns0:t>
        </ns0:is>
      </ns0:c>
    </ns0:row>
    <ns0:row r="51">
      <ns0:c r="A51" t="inlineStr">
        <ns0:is>
          <ns0:t>Anchorage</ns0:t>
        </ns0:is>
      </ns0:c>
      <ns0:c r="B51" t="inlineStr">
        <ns0:is>
          <ns0:t>AK</ns0:t>
        </ns0:is>
      </ns0:c>
      <ns0:c r="C51" t="inlineStr">
        <ns0:is>
          <ns0:t>Anchorage Plumbing</ns0:t>
        </ns0:is>
      </ns0:c>
      <ns0:c r="D51" t="inlineStr">
        <ns0:is>
          <ns0:t>(907) 349-6620</ns0:t>
        </ns0:is>
      </ns0:c>
      <ns0:c r="F51" t="inlineStr">
        <ns0:is>
          <ns0:t>Anchorage, AK</ns0:t>
        </ns0:is>
      </ns0:c>
      <ns0:c r="G51" t="inlineStr">
        <ns0:is>
          <ns0:t>4.5+/5</ns0:t>
        </ns0:is>
      </ns0:c>
      <ns0:c r="I51" t="inlineStr">
        <ns0:is>
          <ns0:t>YES</ns0:t>
        </ns0:is>
      </ns0:c>
      <ns0:c r="J51" t="str" s="1">
        <ns0:f>HYPERLINK("https://ancph.com","ancph.com")</ns0:f>
      </ns0:c>
      <ns0:c r="K51" t="inlineStr">
        <ns0:is>
          <ns0:t>Google</ns0:t>
        </ns0:is>
      </ns0:c>
    </ns0:row>
    <ns0:row r="52">
      <ns0:c r="A52" t="inlineStr">
        <ns0:is>
          <ns0:t>Santa Ana</ns0:t>
        </ns0:is>
      </ns0:c>
      <ns0:c r="B52" t="inlineStr">
        <ns0:is>
          <ns0:t>CA</ns0:t>
        </ns0:is>
      </ns0:c>
      <ns0:c r="C52" t="inlineStr">
        <ns0:is>
          <ns0:t>Do It Right Plumbers</ns0:t>
        </ns0:is>
      </ns0:c>
      <ns0:c r="D52" t="inlineStr">
        <ns0:is>
          <ns0:t>(657) 229-2993</ns0:t>
        </ns0:is>
      </ns0:c>
      <ns0:c r="E52" t="inlineStr">
        <ns0:is>
          <ns0:t>leads@doitrightplumbers.com</ns0:t>
        </ns0:is>
      </ns0:c>
      <ns0:c r="F52" t="inlineStr">
        <ns0:is>
          <ns0:t>Santa Ana, CA</ns0:t>
        </ns0:is>
      </ns0:c>
      <ns0:c r="G52" t="inlineStr">
        <ns0:is>
          <ns0:t>4.6+/5</ns0:t>
        </ns0:is>
      </ns0:c>
      <ns0:c r="I52" t="inlineStr">
        <ns0:is>
          <ns0:t>YES</ns0:t>
        </ns0:is>
      </ns0:c>
      <ns0:c r="J52" t="str" s="1">
        <ns0:f>HYPERLINK("https://doitrightplumbers.com","doitrightplumbers.com")</ns0:f>
      </ns0:c>
      <ns0:c r="K52" t="inlineStr">
        <ns0:is>
          <ns0:t>Google</ns0:t>
        </ns0:is>
      </ns0:c>
    </ns0:row>
    <ns0:row r="53">
      <ns0:c r="A53" t="inlineStr">
        <ns0:is>
          <ns0:t>Saint Petersburg</ns0:t>
        </ns0:is>
      </ns0:c>
      <ns0:c r="B53" t="inlineStr">
        <ns0:is>
          <ns0:t>FL</ns0:t>
        </ns0:is>
      </ns0:c>
      <ns0:c r="C53" t="inlineStr">
        <ns0:is>
          <ns0:t>St Pete Plumbing</ns0:t>
        </ns0:is>
      </ns0:c>
      <ns0:c r="F53" t="inlineStr">
        <ns0:is>
          <ns0:t>Saint Petersburg, FL</ns0:t>
        </ns0:is>
      </ns0:c>
      <ns0:c r="G53" t="inlineStr">
        <ns0:is>
          <ns0:t>4.7+/5</ns0:t>
        </ns0:is>
      </ns0:c>
      <ns0:c r="I53" t="inlineStr">
        <ns0:is>
          <ns0:t>YES</ns0:t>
        </ns0:is>
      </ns0:c>
      <ns0:c r="K53" t="inlineStr">
        <ns0:is>
          <ns0:t>Google</ns0:t>
        </ns0:is>
      </ns0:c>
    </ns0:row>
    <ns0:row r="54">
      <ns0:c r="A54" t="inlineStr">
        <ns0:is>
          <ns0:t>Irvine</ns0:t>
        </ns0:is>
      </ns0:c>
      <ns0:c r="B54" t="inlineStr">
        <ns0:is>
          <ns0:t>CA</ns0:t>
        </ns0:is>
      </ns0:c>
      <ns0:c r="C54" t="inlineStr">
        <ns0:is>
          <ns0:t>Family Plumbing &amp; Rooter Services</ns0:t>
        </ns0:is>
      </ns0:c>
      <ns0:c r="D54" t="inlineStr">
        <ns0:is>
          <ns0:t>(949) 648-6645</ns0:t>
        </ns0:is>
      </ns0:c>
      <ns0:c r="F54" t="inlineStr">
        <ns0:is>
          <ns0:t>Irvine, CA</ns0:t>
        </ns0:is>
      </ns0:c>
      <ns0:c r="G54" t="inlineStr">
        <ns0:is>
          <ns0:t>4.6+/5</ns0:t>
        </ns0:is>
      </ns0:c>
      <ns0:c r="I54" t="inlineStr">
        <ns0:is>
          <ns0:t>YES</ns0:t>
        </ns0:is>
      </ns0:c>
      <ns0:c r="J54" t="str" s="1">
        <ns0:f>HYPERLINK("https://familyplumbing.com","familyplumbing.com")</ns0:f>
      </ns0:c>
      <ns0:c r="K54" t="inlineStr">
        <ns0:is>
          <ns0:t>Google</ns0:t>
        </ns0:is>
      </ns0:c>
    </ns0:row>
    <ns0:row r="55">
      <ns0:c r="A55" t="inlineStr">
        <ns0:is>
          <ns0:t>Orlando</ns0:t>
        </ns0:is>
      </ns0:c>
      <ns0:c r="B55" t="inlineStr">
        <ns0:is>
          <ns0:t>FL</ns0:t>
        </ns0:is>
      </ns0:c>
      <ns0:c r="C55" t="inlineStr">
        <ns0:is>
          <ns0:t>Choice Plumbing Orlando</ns0:t>
        </ns0:is>
      </ns0:c>
      <ns0:c r="D55" t="inlineStr">
        <ns0:is>
          <ns0:t>(407) 422-7443</ns0:t>
        </ns0:is>
      </ns0:c>
      <ns0:c r="F55" t="inlineStr">
        <ns0:is>
          <ns0:t>Orlando, FL</ns0:t>
        </ns0:is>
      </ns0:c>
      <ns0:c r="G55" t="inlineStr">
        <ns0:is>
          <ns0:t>4.7+/5</ns0:t>
        </ns0:is>
      </ns0:c>
      <ns0:c r="I55" t="inlineStr">
        <ns0:is>
          <ns0:t>YES</ns0:t>
        </ns0:is>
      </ns0:c>
      <ns0:c r="J55" t="str" s="1">
        <ns0:f>HYPERLINK("https://choiceplumbingorlando.com","choiceplumbingorlando.com")</ns0:f>
      </ns0:c>
      <ns0:c r="K55" t="inlineStr">
        <ns0:is>
          <ns0:t>Google</ns0:t>
        </ns0:is>
      </ns0:c>
    </ns0:row>
    <ns0:row r="56">
      <ns0:c r="A56" t="inlineStr">
        <ns0:is>
          <ns0:t>Chula Vista</ns0:t>
        </ns0:is>
      </ns0:c>
      <ns0:c r="B56" t="inlineStr">
        <ns0:is>
          <ns0:t>CA</ns0:t>
        </ns0:is>
      </ns0:c>
      <ns0:c r="C56" t="inlineStr">
        <ns0:is>
          <ns0:t>Bob the Plumber of Chula Vista</ns0:t>
        </ns0:is>
      </ns0:c>
      <ns0:c r="D56" t="inlineStr">
        <ns0:is>
          <ns0:t>(619) 990-7960</ns0:t>
        </ns0:is>
      </ns0:c>
      <ns0:c r="F56" t="inlineStr">
        <ns0:is>
          <ns0:t>Chula Vista, CA</ns0:t>
        </ns0:is>
      </ns0:c>
      <ns0:c r="G56" t="inlineStr">
        <ns0:is>
          <ns0:t>4.6+/5</ns0:t>
        </ns0:is>
      </ns0:c>
      <ns0:c r="I56" t="inlineStr">
        <ns0:is>
          <ns0:t>YES</ns0:t>
        </ns0:is>
      </ns0:c>
      <ns0:c r="J56" t="str" s="1">
        <ns0:f>HYPERLINK("https://bobthe.com","bobthe.com")</ns0:f>
      </ns0:c>
      <ns0:c r="K56" t="inlineStr">
        <ns0:is>
          <ns0:t>Google</ns0:t>
        </ns0:is>
      </ns0:c>
    </ns0:row>
    <ns0:row r="57">
      <ns0:c r="A57" t="inlineStr">
        <ns0:is>
          <ns0:t>Garland</ns0:t>
        </ns0:is>
      </ns0:c>
      <ns0:c r="B57" t="inlineStr">
        <ns0:is>
          <ns0:t>TX</ns0:t>
        </ns0:is>
      </ns0:c>
      <ns0:c r="C57" t="inlineStr">
        <ns0:is>
          <ns0:t>Family Ties Plumbing &amp; Construction</ns0:t>
        </ns0:is>
      </ns0:c>
      <ns0:c r="D57" t="inlineStr">
        <ns0:is>
          <ns0:t>(972) 824-8833</ns0:t>
        </ns0:is>
      </ns0:c>
      <ns0:c r="F57" t="inlineStr">
        <ns0:is>
          <ns0:t>Garland, TX</ns0:t>
        </ns0:is>
      </ns0:c>
      <ns0:c r="G57" t="inlineStr">
        <ns0:is>
          <ns0:t>4.6+/5</ns0:t>
        </ns0:is>
      </ns0:c>
      <ns0:c r="I57" t="inlineStr">
        <ns0:is>
          <ns0:t>YES</ns0:t>
        </ns0:is>
      </ns0:c>
      <ns0:c r="K57" t="inlineStr">
        <ns0:is>
          <ns0:t>Google</ns0:t>
        </ns0:is>
      </ns0:c>
    </ns0:row>
    <ns0:row r="58">
      <ns0:c r="A58" t="inlineStr">
        <ns0:is>
          <ns0:t>Glendale</ns0:t>
        </ns0:is>
      </ns0:c>
      <ns0:c r="B58" t="inlineStr">
        <ns0:is>
          <ns0:t>AZ</ns0:t>
        </ns0:is>
      </ns0:c>
      <ns0:c r="C58" t="inlineStr">
        <ns0:is>
          <ns0:t>Glendale Plumbing</ns0:t>
        </ns0:is>
      </ns0:c>
      <ns0:c r="F58" t="inlineStr">
        <ns0:is>
          <ns0:t>Glendale, AZ</ns0:t>
        </ns0:is>
      </ns0:c>
      <ns0:c r="G58" t="inlineStr">
        <ns0:is>
          <ns0:t>4.7+/5</ns0:t>
        </ns0:is>
      </ns0:c>
      <ns0:c r="I58" t="inlineStr">
        <ns0:is>
          <ns0:t>YES</ns0:t>
        </ns0:is>
      </ns0:c>
      <ns0:c r="K58" t="inlineStr">
        <ns0:is>
          <ns0:t>Google</ns0:t>
        </ns0:is>
      </ns0:c>
    </ns0:row>
    <ns0:row r="59">
      <ns0:c r="A59" t="inlineStr">
        <ns0:is>
          <ns0:t>Gilbert</ns0:t>
        </ns0:is>
      </ns0:c>
      <ns0:c r="B59" t="inlineStr">
        <ns0:is>
          <ns0:t>AZ</ns0:t>
        </ns0:is>
      </ns0:c>
      <ns0:c r="C59" t="inlineStr">
        <ns0:is>
          <ns0:t>Travis &amp; Sons Plumbing &amp; Rooter</ns0:t>
        </ns0:is>
      </ns0:c>
      <ns0:c r="D59" t="inlineStr">
        <ns0:is>
          <ns0:t>(480) 568-2309</ns0:t>
        </ns0:is>
      </ns0:c>
      <ns0:c r="F59" t="inlineStr">
        <ns0:is>
          <ns0:t>Gilbert, AZ</ns0:t>
        </ns0:is>
      </ns0:c>
      <ns0:c r="G59" t="inlineStr">
        <ns0:is>
          <ns0:t>4.7+/5</ns0:t>
        </ns0:is>
      </ns0:c>
      <ns0:c r="I59" t="inlineStr">
        <ns0:is>
          <ns0:t>YES</ns0:t>
        </ns0:is>
      </ns0:c>
      <ns0:c r="J59" t="str" s="1">
        <ns0:f>HYPERLINK("https://travisandsonsplumbing.com","travisandsonsplumbing.com")</ns0:f>
      </ns0:c>
      <ns0:c r="K59" t="inlineStr">
        <ns0:is>
          <ns0:t>Google</ns0:t>
        </ns0:is>
      </ns0:c>
    </ns0:row>
    <ns0:row r="60">
      <ns0:c r="A60" t="inlineStr">
        <ns0:is>
          <ns0:t>Winston-Salem</ns0:t>
        </ns0:is>
      </ns0:c>
      <ns0:c r="B60" t="inlineStr">
        <ns0:is>
          <ns0:t>NC</ns0:t>
        </ns0:is>
      </ns0:c>
      <ns0:c r="C60" t="inlineStr">
        <ns0:is>
          <ns0:t>Transou's Plumbing &amp; Septic</ns0:t>
        </ns0:is>
      </ns0:c>
      <ns0:c r="D60" t="inlineStr">
        <ns0:is>
          <ns0:t>(336) 276-1263</ns0:t>
        </ns0:is>
      </ns0:c>
      <ns0:c r="F60" t="inlineStr">
        <ns0:is>
          <ns0:t>Winston-Salem, NC</ns0:t>
        </ns0:is>
      </ns0:c>
      <ns0:c r="G60" t="inlineStr">
        <ns0:is>
          <ns0:t>4.6+/5</ns0:t>
        </ns0:is>
      </ns0:c>
      <ns0:c r="I60" t="inlineStr">
        <ns0:is>
          <ns0:t>YES</ns0:t>
        </ns0:is>
      </ns0:c>
      <ns0:c r="K60" t="inlineStr">
        <ns0:is>
          <ns0:t>Google</ns0:t>
        </ns0:is>
      </ns0:c>
    </ns0:row>
    <ns0:row r="61">
      <ns0:c r="A61" t="inlineStr">
        <ns0:is>
          <ns0:t>Norfolk</ns0:t>
        </ns0:is>
      </ns0:c>
      <ns0:c r="B61" t="inlineStr">
        <ns0:is>
          <ns0:t>VA</ns0:t>
        </ns0:is>
      </ns0:c>
      <ns0:c r="C61" t="inlineStr">
        <ns0:is>
          <ns0:t>Eaton Family Plumbing</ns0:t>
        </ns0:is>
      </ns0:c>
      <ns0:c r="D61" t="inlineStr">
        <ns0:is>
          <ns0:t>(757) 913-9100</ns0:t>
        </ns0:is>
      </ns0:c>
      <ns0:c r="F61" t="inlineStr">
        <ns0:is>
          <ns0:t>Norfolk, VA</ns0:t>
        </ns0:is>
      </ns0:c>
      <ns0:c r="G61" t="inlineStr">
        <ns0:is>
          <ns0:t>4.5+/5</ns0:t>
        </ns0:is>
      </ns0:c>
      <ns0:c r="I61" t="inlineStr">
        <ns0:is>
          <ns0:t>YES</ns0:t>
        </ns0:is>
      </ns0:c>
      <ns0:c r="J61" t="str" s="1">
        <ns0:f>HYPERLINK("https://eatonfamily.com","eatonfamily.com")</ns0:f>
      </ns0:c>
      <ns0:c r="K61" t="inlineStr">
        <ns0:is>
          <ns0:t>Google</ns0:t>
        </ns0:is>
      </ns0:c>
    </ns0:row>
    <ns0:row r="62">
      <ns0:c r="A62" t="inlineStr">
        <ns0:is>
          <ns0:t>Laredo</ns0:t>
        </ns0:is>
      </ns0:c>
      <ns0:c r="B62" t="inlineStr">
        <ns0:is>
          <ns0:t>TX</ns0:t>
        </ns0:is>
      </ns0:c>
      <ns0:c r="C62" t="inlineStr">
        <ns0:is>
          <ns0:t>South Texas Plumbing Contractors</ns0:t>
        </ns0:is>
      </ns0:c>
      <ns0:c r="D62" t="inlineStr">
        <ns0:is>
          <ns0:t>(956) 333-6935</ns0:t>
        </ns0:is>
      </ns0:c>
      <ns0:c r="F62" t="inlineStr">
        <ns0:is>
          <ns0:t>Laredo, TX</ns0:t>
        </ns0:is>
      </ns0:c>
      <ns0:c r="G62" t="inlineStr">
        <ns0:is>
          <ns0:t>4.7+/5</ns0:t>
        </ns0:is>
      </ns0:c>
      <ns0:c r="I62" t="inlineStr">
        <ns0:is>
          <ns0:t>YES</ns0:t>
        </ns0:is>
      </ns0:c>
      <ns0:c r="J62" t="str" s="1">
        <ns0:f>HYPERLINK("https://southtexas.com","southtexas.com")</ns0:f>
      </ns0:c>
      <ns0:c r="K62" t="inlineStr">
        <ns0:is>
          <ns0:t>Google</ns0:t>
        </ns0:is>
      </ns0:c>
    </ns0:row>
    <ns0:row r="63">
      <ns0:c r="A63" t="inlineStr">
        <ns0:is>
          <ns0:t>Lubbock</ns0:t>
        </ns0:is>
      </ns0:c>
      <ns0:c r="B63" t="inlineStr">
        <ns0:is>
          <ns0:t>TX</ns0:t>
        </ns0:is>
      </ns0:c>
      <ns0:c r="C63" t="inlineStr">
        <ns0:is>
          <ns0:t>A-1 Plumbing</ns0:t>
        </ns0:is>
      </ns0:c>
      <ns0:c r="D63" t="inlineStr">
        <ns0:is>
          <ns0:t>(806) 796-0206</ns0:t>
        </ns0:is>
      </ns0:c>
      <ns0:c r="F63" t="inlineStr">
        <ns0:is>
          <ns0:t>Lubbock, TX</ns0:t>
        </ns0:is>
      </ns0:c>
      <ns0:c r="G63" t="inlineStr">
        <ns0:is>
          <ns0:t>4.5+/5</ns0:t>
        </ns0:is>
      </ns0:c>
      <ns0:c r="I63" t="inlineStr">
        <ns0:is>
          <ns0:t>YES (1976)</ns0:t>
        </ns0:is>
      </ns0:c>
      <ns0:c r="J63" t="str" s="1">
        <ns0:f>HYPERLINK("https://lubbocka1plumbing.com","lubbocka1plumbing.com")</ns0:f>
      </ns0:c>
      <ns0:c r="K63" t="inlineStr">
        <ns0:is>
          <ns0:t>Google</ns0:t>
        </ns0:is>
      </ns0:c>
    </ns0:row>
    <ns0:row r="64">
      <ns0:c r="A64" t="inlineStr">
        <ns0:is>
          <ns0:t>Madison</ns0:t>
        </ns0:is>
      </ns0:c>
      <ns0:c r="B64" t="inlineStr">
        <ns0:is>
          <ns0:t>WI</ns0:t>
        </ns0:is>
      </ns0:c>
      <ns0:c r="C64" t="inlineStr">
        <ns0:is>
          <ns0:t>Howe Brothers Plumbing LLC</ns0:t>
        </ns0:is>
      </ns0:c>
      <ns0:c r="D64" t="inlineStr">
        <ns0:is>
          <ns0:t>(608) 257-2884</ns0:t>
        </ns0:is>
      </ns0:c>
      <ns0:c r="F64" t="inlineStr">
        <ns0:is>
          <ns0:t>Madison, WI</ns0:t>
        </ns0:is>
      </ns0:c>
      <ns0:c r="G64" t="inlineStr">
        <ns0:is>
          <ns0:t>4.6+/5</ns0:t>
        </ns0:is>
      </ns0:c>
      <ns0:c r="I64" t="inlineStr">
        <ns0:is>
          <ns0:t>YES</ns0:t>
        </ns0:is>
      </ns0:c>
      <ns0:c r="K64" t="inlineStr">
        <ns0:is>
          <ns0:t>Google</ns0:t>
        </ns0:is>
      </ns0:c>
    </ns0:row>
    <ns0:row r="65">
      <ns0:c r="A65" t="inlineStr">
        <ns0:is>
          <ns0:t>Chandler</ns0:t>
        </ns0:is>
      </ns0:c>
      <ns0:c r="B65" t="inlineStr">
        <ns0:is>
          <ns0:t>AZ</ns0:t>
        </ns0:is>
      </ns0:c>
      <ns0:c r="C65" t="inlineStr">
        <ns0:is>
          <ns0:t>Roy Dossey Plumbing</ns0:t>
        </ns0:is>
      </ns0:c>
      <ns0:c r="D65" t="inlineStr">
        <ns0:is>
          <ns0:t>(480) 963-3302</ns0:t>
        </ns0:is>
      </ns0:c>
      <ns0:c r="F65" t="inlineStr">
        <ns0:is>
          <ns0:t>Chandler, AZ</ns0:t>
        </ns0:is>
      </ns0:c>
      <ns0:c r="G65" t="inlineStr">
        <ns0:is>
          <ns0:t>4.7+/5</ns0:t>
        </ns0:is>
      </ns0:c>
      <ns0:c r="I65" t="inlineStr">
        <ns0:is>
          <ns0:t>YES</ns0:t>
        </ns0:is>
      </ns0:c>
      <ns0:c r="K65" t="inlineStr">
        <ns0:is>
          <ns0:t>Google</ns0:t>
        </ns0:is>
      </ns0:c>
    </ns0:row>
    <ns0:row r="66">
      <ns0:c r="A66" t="inlineStr">
        <ns0:is>
          <ns0:t>Irving</ns0:t>
        </ns0:is>
      </ns0:c>
      <ns0:c r="B66" t="inlineStr">
        <ns0:is>
          <ns0:t>TX</ns0:t>
        </ns0:is>
      </ns0:c>
      <ns0:c r="C66" t="inlineStr">
        <ns0:is>
          <ns0:t>Reeves Family Plumbing</ns0:t>
        </ns0:is>
      </ns0:c>
      <ns0:c r="D66" t="inlineStr">
        <ns0:is>
          <ns0:t>(972) 247-3763</ns0:t>
        </ns0:is>
      </ns0:c>
      <ns0:c r="F66" t="inlineStr">
        <ns0:is>
          <ns0:t>Irving, TX</ns0:t>
        </ns0:is>
      </ns0:c>
      <ns0:c r="G66" t="inlineStr">
        <ns0:is>
          <ns0:t>4.6+/5</ns0:t>
        </ns0:is>
      </ns0:c>
      <ns0:c r="I66" t="inlineStr">
        <ns0:is>
          <ns0:t>YES</ns0:t>
        </ns0:is>
      </ns0:c>
      <ns0:c r="J66" t="str" s="1">
        <ns0:f>HYPERLINK("https://reevesfamily.com","reevesfamily.com")</ns0:f>
      </ns0:c>
      <ns0:c r="K66" t="inlineStr">
        <ns0:is>
          <ns0:t>Google</ns0:t>
        </ns0:is>
      </ns0:c>
    </ns0:row>
    <ns0:row r="67">
      <ns0:c r="A67" t="inlineStr">
        <ns0:is>
          <ns0:t>Scottsdale</ns0:t>
        </ns0:is>
      </ns0:c>
      <ns0:c r="B67" t="inlineStr">
        <ns0:is>
          <ns0:t>AZ</ns0:t>
        </ns0:is>
      </ns0:c>
      <ns0:c r="C67" t="inlineStr">
        <ns0:is>
          <ns0:t>DC Family Plumbing</ns0:t>
        </ns0:is>
      </ns0:c>
      <ns0:c r="D67" t="inlineStr">
        <ns0:is>
          <ns0:t>(480) 300-4791</ns0:t>
        </ns0:is>
      </ns0:c>
      <ns0:c r="F67" t="inlineStr">
        <ns0:is>
          <ns0:t>Scottsdale, AZ</ns0:t>
        </ns0:is>
      </ns0:c>
      <ns0:c r="G67" t="inlineStr">
        <ns0:is>
          <ns0:t>4.7+/5</ns0:t>
        </ns0:is>
      </ns0:c>
      <ns0:c r="I67" t="inlineStr">
        <ns0:is>
          <ns0:t>YES</ns0:t>
        </ns0:is>
      </ns0:c>
      <ns0:c r="J67" t="str" s="1">
        <ns0:f>HYPERLINK("https://dcfamilyplumbing.com","dcfamilyplumbing.com")</ns0:f>
      </ns0:c>
      <ns0:c r="K67" t="inlineStr">
        <ns0:is>
          <ns0:t>Google</ns0:t>
        </ns0:is>
      </ns0:c>
    </ns0:row>
    <ns0:row r="68">
      <ns0:c r="A68" t="inlineStr">
        <ns0:is>
          <ns0:t>Norfolk</ns0:t>
        </ns0:is>
      </ns0:c>
      <ns0:c r="B68" t="inlineStr">
        <ns0:is>
          <ns0:t>VA</ns0:t>
        </ns0:is>
      </ns0:c>
      <ns0:c r="C68" t="inlineStr">
        <ns0:is>
          <ns0:t>Eaton Family Plumbing</ns0:t>
        </ns0:is>
      </ns0:c>
      <ns0:c r="D68" t="inlineStr">
        <ns0:is>
          <ns0:t>(757) 913-9100</ns0:t>
        </ns0:is>
      </ns0:c>
      <ns0:c r="F68" t="inlineStr">
        <ns0:is>
          <ns0:t>Norfolk, VA</ns0:t>
        </ns0:is>
      </ns0:c>
      <ns0:c r="G68" t="inlineStr">
        <ns0:is>
          <ns0:t>4.5+/5</ns0:t>
        </ns0:is>
      </ns0:c>
      <ns0:c r="I68" t="inlineStr">
        <ns0:is>
          <ns0:t>YES</ns0:t>
        </ns0:is>
      </ns0:c>
      <ns0:c r="J68" t="str" s="1">
        <ns0:f>HYPERLINK("https://eatonfamily.com","eatonfamily.com")</ns0:f>
      </ns0:c>
      <ns0:c r="K68" t="inlineStr">
        <ns0:is>
          <ns0:t>Google</ns0:t>
        </ns0:is>
      </ns0:c>
    </ns0:row>
    <ns0:row r="69">
      <ns0:c r="A69" t="inlineStr">
        <ns0:is>
          <ns0:t>Garland</ns0:t>
        </ns0:is>
      </ns0:c>
      <ns0:c r="B69" t="inlineStr">
        <ns0:is>
          <ns0:t>TX</ns0:t>
        </ns0:is>
      </ns0:c>
      <ns0:c r="C69" t="inlineStr">
        <ns0:is>
          <ns0:t>Family Ties Plumbing &amp; Construction</ns0:t>
        </ns0:is>
      </ns0:c>
      <ns0:c r="D69" t="inlineStr">
        <ns0:is>
          <ns0:t>(972) 824-8833</ns0:t>
        </ns0:is>
      </ns0:c>
      <ns0:c r="F69" t="inlineStr">
        <ns0:is>
          <ns0:t>Garland, TX</ns0:t>
        </ns0:is>
      </ns0:c>
      <ns0:c r="G69" t="inlineStr">
        <ns0:is>
          <ns0:t>4.6+/5</ns0:t>
        </ns0:is>
      </ns0:c>
      <ns0:c r="I69" t="inlineStr">
        <ns0:is>
          <ns0:t>YES</ns0:t>
        </ns0:is>
      </ns0:c>
      <ns0:c r="K69" t="inlineStr">
        <ns0:is>
          <ns0:t>Google</ns0:t>
        </ns0:is>
      </ns0:c>
    </ns0:row>
    <ns0:row r="70">
      <ns0:c r="A70" t="inlineStr">
        <ns0:is>
          <ns0:t>Glendale</ns0:t>
        </ns0:is>
      </ns0:c>
      <ns0:c r="B70" t="inlineStr">
        <ns0:is>
          <ns0:t>AZ</ns0:t>
        </ns0:is>
      </ns0:c>
      <ns0:c r="C70" t="inlineStr">
        <ns0:is>
          <ns0:t>Glendale Plumbing Pro</ns0:t>
        </ns0:is>
      </ns0:c>
      <ns0:c r="F70" t="inlineStr">
        <ns0:is>
          <ns0:t>Glendale, AZ</ns0:t>
        </ns0:is>
      </ns0:c>
      <ns0:c r="G70" t="inlineStr">
        <ns0:is>
          <ns0:t>4.7+/5</ns0:t>
        </ns0:is>
      </ns0:c>
      <ns0:c r="I70" t="inlineStr">
        <ns0:is>
          <ns0:t>YES</ns0:t>
        </ns0:is>
      </ns0:c>
      <ns0:c r="K70" t="inlineStr">
        <ns0:is>
          <ns0:t>Google</ns0:t>
        </ns0:is>
      </ns0:c>
    </ns0:row>
    <ns0:row r="71">
      <ns0:c r="A71" t="inlineStr">
        <ns0:is>
          <ns0:t>Gilbert</ns0:t>
        </ns0:is>
      </ns0:c>
      <ns0:c r="B71" t="inlineStr">
        <ns0:is>
          <ns0:t>AZ</ns0:t>
        </ns0:is>
      </ns0:c>
      <ns0:c r="C71" t="inlineStr">
        <ns0:is>
          <ns0:t>Travis &amp; Sons Plumbing &amp; Rooter</ns0:t>
        </ns0:is>
      </ns0:c>
      <ns0:c r="D71" t="inlineStr">
        <ns0:is>
          <ns0:t>(480) 568-2309</ns0:t>
        </ns0:is>
      </ns0:c>
      <ns0:c r="F71" t="inlineStr">
        <ns0:is>
          <ns0:t>Gilbert, AZ</ns0:t>
        </ns0:is>
      </ns0:c>
      <ns0:c r="G71" t="inlineStr">
        <ns0:is>
          <ns0:t>4.7+/5</ns0:t>
        </ns0:is>
      </ns0:c>
      <ns0:c r="I71" t="inlineStr">
        <ns0:is>
          <ns0:t>YES</ns0:t>
        </ns0:is>
      </ns0:c>
      <ns0:c r="J71" t="str" s="1">
        <ns0:f>HYPERLINK("https://travisandsonsplumbing.com","travisandsonsplumbing.com")</ns0:f>
      </ns0:c>
      <ns0:c r="K71" t="inlineStr">
        <ns0:is>
          <ns0:t>Google</ns0:t>
        </ns0:is>
      </ns0:c>
    </ns0:row>
    <ns0:row r="72">
      <ns0:c r="A72" t="inlineStr">
        <ns0:is>
          <ns0:t>Winston-Salem</ns0:t>
        </ns0:is>
      </ns0:c>
      <ns0:c r="B72" t="inlineStr">
        <ns0:is>
          <ns0:t>NC</ns0:t>
        </ns0:is>
      </ns0:c>
      <ns0:c r="C72" t="inlineStr">
        <ns0:is>
          <ns0:t>Transou's Plumbing &amp; Septic</ns0:t>
        </ns0:is>
      </ns0:c>
      <ns0:c r="D72" t="inlineStr">
        <ns0:is>
          <ns0:t>(336) 276-1263</ns0:t>
        </ns0:is>
      </ns0:c>
      <ns0:c r="F72" t="inlineStr">
        <ns0:is>
          <ns0:t>Winston-Salem, NC</ns0:t>
        </ns0:is>
      </ns0:c>
      <ns0:c r="G72" t="inlineStr">
        <ns0:is>
          <ns0:t>4.6+/5</ns0:t>
        </ns0:is>
      </ns0:c>
      <ns0:c r="I72" t="inlineStr">
        <ns0:is>
          <ns0:t>YES</ns0:t>
        </ns0:is>
      </ns0:c>
      <ns0:c r="K72" t="inlineStr">
        <ns0:is>
          <ns0:t>Google</ns0:t>
        </ns0:is>
      </ns0:c>
    </ns0:row>
    <ns0:row r="73">
      <ns0:c r="A73" t="inlineStr">
        <ns0:is>
          <ns0:t>Hialeah</ns0:t>
        </ns0:is>
      </ns0:c>
      <ns0:c r="B73" t="inlineStr">
        <ns0:is>
          <ns0:t>FL</ns0:t>
        </ns0:is>
      </ns0:c>
      <ns0:c r="C73" t="inlineStr">
        <ns0:is>
          <ns0:t>Hernandez Plumbing Co.</ns0:t>
        </ns0:is>
      </ns0:c>
      <ns0:c r="D73" t="inlineStr">
        <ns0:is>
          <ns0:t>(305) 428-3782</ns0:t>
        </ns0:is>
      </ns0:c>
      <ns0:c r="F73" t="inlineStr">
        <ns0:is>
          <ns0:t>Hialeah, FL</ns0:t>
        </ns0:is>
      </ns0:c>
      <ns0:c r="G73" t="inlineStr">
        <ns0:is>
          <ns0:t>4.6+/5</ns0:t>
        </ns0:is>
      </ns0:c>
      <ns0:c r="I73" t="inlineStr">
        <ns0:is>
          <ns0:t>YES</ns0:t>
        </ns0:is>
      </ns0:c>
      <ns0:c r="J73" t="str" s="1">
        <ns0:f>HYPERLINK("https://hernandezplumbing.com","hernandezplumbing.com")</ns0:f>
      </ns0:c>
      <ns0:c r="K73" t="inlineStr">
        <ns0:is>
          <ns0:t>Google</ns0:t>
        </ns0:is>
      </ns0:c>
    </ns0:row>
    <ns0:row r="74">
      <ns0:c r="A74" t="inlineStr">
        <ns0:is>
          <ns0:t>Modesto</ns0:t>
        </ns0:is>
      </ns0:c>
      <ns0:c r="B74" t="inlineStr">
        <ns0:is>
          <ns0:t>CA</ns0:t>
        </ns0:is>
      </ns0:c>
      <ns0:c r="C74" t="inlineStr">
        <ns0:is>
          <ns0:t>Herk's Plumbing</ns0:t>
        </ns0:is>
      </ns0:c>
      <ns0:c r="D74" t="inlineStr">
        <ns0:is>
          <ns0:t>(209) 496-1388</ns0:t>
        </ns0:is>
      </ns0:c>
      <ns0:c r="F74" t="inlineStr">
        <ns0:is>
          <ns0:t>Modesto, CA</ns0:t>
        </ns0:is>
      </ns0:c>
      <ns0:c r="G74" t="inlineStr">
        <ns0:is>
          <ns0:t>4.6+/5</ns0:t>
        </ns0:is>
      </ns0:c>
      <ns0:c r="I74" t="inlineStr">
        <ns0:is>
          <ns0:t>YES</ns0:t>
        </ns0:is>
      </ns0:c>
      <ns0:c r="J74" t="str" s="1">
        <ns0:f>HYPERLINK("https://herksplumbing.com","herksplumbing.com")</ns0:f>
      </ns0:c>
      <ns0:c r="K74" t="inlineStr">
        <ns0:is>
          <ns0:t>Google</ns0:t>
        </ns0:is>
      </ns0:c>
    </ns0:row>
    <ns0:row r="75">
      <ns0:c r="A75" t="inlineStr">
        <ns0:is>
          <ns0:t>Fontana</ns0:t>
        </ns0:is>
      </ns0:c>
      <ns0:c r="B75" t="inlineStr">
        <ns0:is>
          <ns0:t>CA</ns0:t>
        </ns0:is>
      </ns0:c>
      <ns0:c r="C75" t="inlineStr">
        <ns0:is>
          <ns0:t>Family Ties Air, Plumbing, &amp; Drain</ns0:t>
        </ns0:is>
      </ns0:c>
      <ns0:c r="D75" t="inlineStr">
        <ns0:is>
          <ns0:t>(909) 332-2558</ns0:t>
        </ns0:is>
      </ns0:c>
      <ns0:c r="F75" t="inlineStr">
        <ns0:is>
          <ns0:t>Fontana, CA</ns0:t>
        </ns0:is>
      </ns0:c>
      <ns0:c r="G75" t="inlineStr">
        <ns0:is>
          <ns0:t>4.6+/5</ns0:t>
        </ns0:is>
      </ns0:c>
      <ns0:c r="I75" t="inlineStr">
        <ns0:is>
          <ns0:t>YES</ns0:t>
        </ns0:is>
      </ns0:c>
      <ns0:c r="J75" t="str" s="1">
        <ns0:f>HYPERLINK("https://familytiesair.com","familytiesair.com")</ns0:f>
      </ns0:c>
      <ns0:c r="K75" t="inlineStr">
        <ns0:is>
          <ns0:t>Google</ns0:t>
        </ns0:is>
      </ns0:c>
    </ns0:row>
    <ns0:row r="76">
      <ns0:c r="A76" t="inlineStr">
        <ns0:is>
          <ns0:t>Moreno Valley</ns0:t>
        </ns0:is>
      </ns0:c>
      <ns0:c r="B76" t="inlineStr">
        <ns0:is>
          <ns0:t>CA</ns0:t>
        </ns0:is>
      </ns0:c>
      <ns0:c r="C76" t="inlineStr">
        <ns0:is>
          <ns0:t>McPherson Bros Plumbing</ns0:t>
        </ns0:is>
      </ns0:c>
      <ns0:c r="D76" t="inlineStr">
        <ns0:is>
          <ns0:t>(833) 627-2767</ns0:t>
        </ns0:is>
      </ns0:c>
      <ns0:c r="F76" t="inlineStr">
        <ns0:is>
          <ns0:t>Moreno Valley, CA</ns0:t>
        </ns0:is>
      </ns0:c>
      <ns0:c r="G76" t="inlineStr">
        <ns0:is>
          <ns0:t>4.5+/5</ns0:t>
        </ns0:is>
      </ns0:c>
      <ns0:c r="I76" t="inlineStr">
        <ns0:is>
          <ns0:t>YES</ns0:t>
        </ns0:is>
      </ns0:c>
      <ns0:c r="J76" t="str" s="1">
        <ns0:f>HYPERLINK("https://mcphersonbros.com","mcphersonbros.com")</ns0:f>
      </ns0:c>
      <ns0:c r="K76" t="inlineStr">
        <ns0:is>
          <ns0:t>Google</ns0:t>
        </ns0:is>
      </ns0:c>
    </ns0:row>
    <ns0:row r="77">
      <ns0:c r="A77" t="inlineStr">
        <ns0:is>
          <ns0:t>Brownsville</ns0:t>
        </ns0:is>
      </ns0:c>
      <ns0:c r="B77" t="inlineStr">
        <ns0:is>
          <ns0:t>TX</ns0:t>
        </ns0:is>
      </ns0:c>
      <ns0:c r="C77" t="inlineStr">
        <ns0:is>
          <ns0:t>Robert's Repair Plumbing</ns0:t>
        </ns0:is>
      </ns0:c>
      <ns0:c r="D77" t="inlineStr">
        <ns0:is>
          <ns0:t>(956) 203-9993</ns0:t>
        </ns0:is>
      </ns0:c>
      <ns0:c r="F77" t="inlineStr">
        <ns0:is>
          <ns0:t>Brownsville, TX</ns0:t>
        </ns0:is>
      </ns0:c>
      <ns0:c r="G77" t="inlineStr">
        <ns0:is>
          <ns0:t>4.5+/5</ns0:t>
        </ns0:is>
      </ns0:c>
      <ns0:c r="I77" t="inlineStr">
        <ns0:is>
          <ns0:t>YES</ns0:t>
        </ns0:is>
      </ns0:c>
      <ns0:c r="J77" t="str" s="1">
        <ns0:f>HYPERLINK("https://robertsrepair.com","robertsrepair.com")</ns0:f>
      </ns0:c>
      <ns0:c r="K77" t="inlineStr">
        <ns0:is>
          <ns0:t>Google</ns0:t>
        </ns0:is>
      </ns0:c>
    </ns0:row>
    <ns0:row r="78">
      <ns0:c r="A78" t="inlineStr">
        <ns0:is>
          <ns0:t>Fayetteville</ns0:t>
        </ns0:is>
      </ns0:c>
      <ns0:c r="B78" t="inlineStr">
        <ns0:is>
          <ns0:t>NC</ns0:t>
        </ns0:is>
      </ns0:c>
      <ns0:c r="C78" t="inlineStr">
        <ns0:is>
          <ns0:t>Woods Plumbing Service LLC</ns0:t>
        </ns0:is>
      </ns0:c>
      <ns0:c r="D78" t="inlineStr">
        <ns0:is>
          <ns0:t>(910) 920-3908</ns0:t>
        </ns0:is>
      </ns0:c>
      <ns0:c r="F78" t="inlineStr">
        <ns0:is>
          <ns0:t>Fayetteville, NC</ns0:t>
        </ns0:is>
      </ns0:c>
      <ns0:c r="G78" t="inlineStr">
        <ns0:is>
          <ns0:t>4.6+/5</ns0:t>
        </ns0:is>
      </ns0:c>
      <ns0:c r="I78" t="inlineStr">
        <ns0:is>
          <ns0:t>YES</ns0:t>
        </ns0:is>
      </ns0:c>
      <ns0:c r="J78" t="str" s="1">
        <ns0:f>HYPERLINK("https://woodsplumbing.com","woodsplumbing.com")</ns0:f>
      </ns0:c>
      <ns0:c r="K78" t="inlineStr">
        <ns0:is>
          <ns0:t>Google</ns0:t>
        </ns0:is>
      </ns0:c>
    </ns0:row>
    <ns0:row r="79">
      <ns0:c r="A79" t="inlineStr">
        <ns0:is>
          <ns0:t>Huntington Beach</ns0:t>
        </ns0:is>
      </ns0:c>
      <ns0:c r="B79" t="inlineStr">
        <ns0:is>
          <ns0:t>CA</ns0:t>
        </ns0:is>
      </ns0:c>
      <ns0:c r="C79" t="inlineStr">
        <ns0:is>
          <ns0:t>DeVinney Plumbing, Inc.</ns0:t>
        </ns0:is>
      </ns0:c>
      <ns0:c r="D79" t="inlineStr">
        <ns0:is>
          <ns0:t>(714) 375-0126</ns0:t>
        </ns0:is>
      </ns0:c>
      <ns0:c r="F79" t="inlineStr">
        <ns0:is>
          <ns0:t>Huntington Beach, CA</ns0:t>
        </ns0:is>
      </ns0:c>
      <ns0:c r="G79" t="inlineStr">
        <ns0:is>
          <ns0:t>4.7+/5</ns0:t>
        </ns0:is>
      </ns0:c>
      <ns0:c r="I79" t="inlineStr">
        <ns0:is>
          <ns0:t>YES</ns0:t>
        </ns0:is>
      </ns0:c>
      <ns0:c r="J79" t="str" s="1">
        <ns0:f>HYPERLINK("https://devinneyplumbing.com","devinneyplumbing.com")</ns0:f>
      </ns0:c>
      <ns0:c r="K79" t="inlineStr">
        <ns0:is>
          <ns0:t>Google</ns0:t>
        </ns0:is>
      </ns0:c>
    </ns0:row>
    <ns0:row r="80">
      <ns0:c r="A80" t="inlineStr">
        <ns0:is>
          <ns0:t>Grand Prairie</ns0:t>
        </ns0:is>
      </ns0:c>
      <ns0:c r="B80" t="inlineStr">
        <ns0:is>
          <ns0:t>TX</ns0:t>
        </ns0:is>
      </ns0:c>
      <ns0:c r="C80" t="inlineStr">
        <ns0:is>
          <ns0:t>Grand Prairie Plumbing</ns0:t>
        </ns0:is>
      </ns0:c>
      <ns0:c r="F80" t="inlineStr">
        <ns0:is>
          <ns0:t>Grand Prairie, TX</ns0:t>
        </ns0:is>
      </ns0:c>
      <ns0:c r="G80" t="inlineStr">
        <ns0:is>
          <ns0:t>4.6+/5</ns0:t>
        </ns0:is>
      </ns0:c>
      <ns0:c r="I80" t="inlineStr">
        <ns0:is>
          <ns0:t>YES</ns0:t>
        </ns0:is>
      </ns0:c>
      <ns0:c r="K80" t="inlineStr">
        <ns0:is>
          <ns0:t>Google</ns0:t>
        </ns0:is>
      </ns0:c>
    </ns0:row>
    <ns0:row r="81">
      <ns0:c r="A81" t="inlineStr">
        <ns0:is>
          <ns0:t>Newport News</ns0:t>
        </ns0:is>
      </ns0:c>
      <ns0:c r="B81" t="inlineStr">
        <ns0:is>
          <ns0:t>VA</ns0:t>
        </ns0:is>
      </ns0:c>
      <ns0:c r="C81" t="inlineStr">
        <ns0:is>
          <ns0:t>Blair's Plumbing Repair &amp; Drains</ns0:t>
        </ns0:is>
      </ns0:c>
      <ns0:c r="D81" t="inlineStr">
        <ns0:is>
          <ns0:t>(757) 719-1236</ns0:t>
        </ns0:is>
      </ns0:c>
      <ns0:c r="F81" t="inlineStr">
        <ns0:is>
          <ns0:t>Newport News, VA</ns0:t>
        </ns0:is>
      </ns0:c>
      <ns0:c r="G81" t="inlineStr">
        <ns0:is>
          <ns0:t>4.5+/5</ns0:t>
        </ns0:is>
      </ns0:c>
      <ns0:c r="I81" t="inlineStr">
        <ns0:is>
          <ns0:t>YES</ns0:t>
        </ns0:is>
      </ns0:c>
      <ns0:c r="J81" t="str" s="1">
        <ns0:f>HYPERLINK("https://blairsplumbingrepair.com","blairsplumbingrepair.com")</ns0:f>
      </ns0:c>
      <ns0:c r="K81" t="inlineStr">
        <ns0:is>
          <ns0:t>Google</ns0:t>
        </ns0:is>
      </ns0:c>
    </ns0:row>
    <ns0:row r="82">
      <ns0:c r="A82" t="inlineStr">
        <ns0:is>
          <ns0:t>Tallahassee</ns0:t>
        </ns0:is>
      </ns0:c>
      <ns0:c r="B82" t="inlineStr">
        <ns0:is>
          <ns0:t>FL</ns0:t>
        </ns0:is>
      </ns0:c>
      <ns0:c r="C82" t="inlineStr">
        <ns0:is>
          <ns0:t>White's Plumbing Inc</ns0:t>
        </ns0:is>
      </ns0:c>
      <ns0:c r="D82" t="inlineStr">
        <ns0:is>
          <ns0:t>(850) 576-3510</ns0:t>
        </ns0:is>
      </ns0:c>
      <ns0:c r="F82" t="inlineStr">
        <ns0:is>
          <ns0:t>Tallahassee, FL</ns0:t>
        </ns0:is>
      </ns0:c>
      <ns0:c r="G82" t="inlineStr">
        <ns0:is>
          <ns0:t>4.6+/5</ns0:t>
        </ns0:is>
      </ns0:c>
      <ns0:c r="I82" t="inlineStr">
        <ns0:is>
          <ns0:t>YES</ns0:t>
        </ns0:is>
      </ns0:c>
      <ns0:c r="J82" t="str" s="1">
        <ns0:f>HYPERLINK("https://whitesplumbing.com","whitesplumbing.com")</ns0:f>
      </ns0:c>
      <ns0:c r="K82" t="inlineStr">
        <ns0:is>
          <ns0:t>Google</ns0:t>
        </ns0:is>
      </ns0:c>
    </ns0:row>
    <ns0:row r="83">
      <ns0:c r="A83" t="inlineStr">
        <ns0:is>
          <ns0:t>Santa Clarita</ns0:t>
        </ns0:is>
      </ns0:c>
      <ns0:c r="B83" t="inlineStr">
        <ns0:is>
          <ns0:t>CA</ns0:t>
        </ns0:is>
      </ns0:c>
      <ns0:c r="C83" t="inlineStr">
        <ns0:is>
          <ns0:t>Matthew's Plumbing Inc</ns0:t>
        </ns0:is>
      </ns0:c>
      <ns0:c r="D83" t="inlineStr">
        <ns0:is>
          <ns0:t>(661) 299-6707</ns0:t>
        </ns0:is>
      </ns0:c>
      <ns0:c r="F83" t="inlineStr">
        <ns0:is>
          <ns0:t>Santa Clarita, CA</ns0:t>
        </ns0:is>
      </ns0:c>
      <ns0:c r="G83" t="inlineStr">
        <ns0:is>
          <ns0:t>4.7+/5</ns0:t>
        </ns0:is>
      </ns0:c>
      <ns0:c r="I83" t="inlineStr">
        <ns0:is>
          <ns0:t>YES</ns0:t>
        </ns0:is>
      </ns0:c>
      <ns0:c r="K83" t="inlineStr">
        <ns0:is>
          <ns0:t>Google</ns0:t>
        </ns0:is>
      </ns0:c>
    </ns0:row>
    <ns0:row r="84">
      <ns0:c r="A84" t="inlineStr">
        <ns0:is>
          <ns0:t>Durham</ns0:t>
        </ns0:is>
      </ns0:c>
      <ns0:c r="B84" t="inlineStr">
        <ns0:is>
          <ns0:t>NC</ns0:t>
        </ns0:is>
      </ns0:c>
      <ns0:c r="C84" t="inlineStr">
        <ns0:is>
          <ns0:t>Brown Brothers Plumbing &amp; Heating</ns0:t>
        </ns0:is>
      </ns0:c>
      <ns0:c r="D84" t="inlineStr">
        <ns0:is>
          <ns0:t>(919) 220-2554</ns0:t>
        </ns0:is>
      </ns0:c>
      <ns0:c r="F84" t="inlineStr">
        <ns0:is>
          <ns0:t>Durham, NC</ns0:t>
        </ns0:is>
      </ns0:c>
      <ns0:c r="G84" t="inlineStr">
        <ns0:is>
          <ns0:t>4.6+/5</ns0:t>
        </ns0:is>
      </ns0:c>
      <ns0:c r="I84" t="inlineStr">
        <ns0:is>
          <ns0:t>YES</ns0:t>
        </ns0:is>
      </ns0:c>
      <ns0:c r="J84" t="str" s="1">
        <ns0:f>HYPERLINK("https://brownbrothers.com","brownbrothers.com")</ns0:f>
      </ns0:c>
      <ns0:c r="K84" t="inlineStr">
        <ns0:is>
          <ns0:t>Google</ns0:t>
        </ns0:is>
      </ns0:c>
    </ns0:row>
    <ns0:row r="85">
      <ns0:c r="A85" t="inlineStr">
        <ns0:is>
          <ns0:t>Plano</ns0:t>
        </ns0:is>
      </ns0:c>
      <ns0:c r="B85" t="inlineStr">
        <ns0:is>
          <ns0:t>TX</ns0:t>
        </ns0:is>
      </ns0:c>
      <ns0:c r="C85" t="inlineStr">
        <ns0:is>
          <ns0:t>Plano Plumbing</ns0:t>
        </ns0:is>
      </ns0:c>
      <ns0:c r="F85" t="inlineStr">
        <ns0:is>
          <ns0:t>Plano, TX</ns0:t>
        </ns0:is>
      </ns0:c>
      <ns0:c r="G85" t="inlineStr">
        <ns0:is>
          <ns0:t>4.6+/5</ns0:t>
        </ns0:is>
      </ns0:c>
      <ns0:c r="I85" t="inlineStr">
        <ns0:is>
          <ns0:t>YES</ns0:t>
        </ns0:is>
      </ns0:c>
      <ns0:c r="K85" t="inlineStr">
        <ns0:is>
          <ns0:t>Google</ns0:t>
        </ns0:is>
      </ns0:c>
    </ns0:row>
    <ns0:row r="86">
      <ns0:c r="A86" t="inlineStr">
        <ns0:is>
          <ns0:t>Shreveport</ns0:t>
        </ns0:is>
      </ns0:c>
      <ns0:c r="B86" t="inlineStr">
        <ns0:is>
          <ns0:t>LA</ns0:t>
        </ns0:is>
      </ns0:c>
      <ns0:c r="C86" t="inlineStr">
        <ns0:is>
          <ns0:t>Bobby L. Greene Plumbing</ns0:t>
        </ns0:is>
      </ns0:c>
      <ns0:c r="D86" t="inlineStr">
        <ns0:is>
          <ns0:t>(318) 929-6574</ns0:t>
        </ns0:is>
      </ns0:c>
      <ns0:c r="F86" t="inlineStr">
        <ns0:is>
          <ns0:t>Shreveport, LA</ns0:t>
        </ns0:is>
      </ns0:c>
      <ns0:c r="G86" t="inlineStr">
        <ns0:is>
          <ns0:t>4.5+/5</ns0:t>
        </ns0:is>
      </ns0:c>
      <ns0:c r="I86" t="inlineStr">
        <ns0:is>
          <ns0:t>YES</ns0:t>
        </ns0:is>
      </ns0:c>
      <ns0:c r="K86" t="inlineStr">
        <ns0:is>
          <ns0:t>Google</ns0:t>
        </ns0:is>
      </ns0:c>
    </ns0:row>
    <ns0:row r="87">
      <ns0:c r="A87" t="inlineStr">
        <ns0:is>
          <ns0:t>Garland</ns0:t>
        </ns0:is>
      </ns0:c>
      <ns0:c r="B87" t="inlineStr">
        <ns0:is>
          <ns0:t>TX</ns0:t>
        </ns0:is>
      </ns0:c>
      <ns0:c r="C87" t="inlineStr">
        <ns0:is>
          <ns0:t>Family Ties Plumbing &amp; Construction</ns0:t>
        </ns0:is>
      </ns0:c>
      <ns0:c r="D87" t="inlineStr">
        <ns0:is>
          <ns0:t>(972) 824-8833</ns0:t>
        </ns0:is>
      </ns0:c>
      <ns0:c r="F87" t="inlineStr">
        <ns0:is>
          <ns0:t>Garland, TX</ns0:t>
        </ns0:is>
      </ns0:c>
      <ns0:c r="G87" t="inlineStr">
        <ns0:is>
          <ns0:t>4.6+/5</ns0:t>
        </ns0:is>
      </ns0:c>
      <ns0:c r="I87" t="inlineStr">
        <ns0:is>
          <ns0:t>YES</ns0:t>
        </ns0:is>
      </ns0:c>
      <ns0:c r="K87" t="inlineStr">
        <ns0:is>
          <ns0:t>Google</ns0:t>
        </ns0:is>
      </ns0:c>
    </ns0:row>
    <ns0:row r="88">
      <ns0:c r="A88" t="inlineStr">
        <ns0:is>
          <ns0:t>Spokane</ns0:t>
        </ns0:is>
      </ns0:c>
      <ns0:c r="B88" t="inlineStr">
        <ns0:is>
          <ns0:t>WA</ns0:t>
        </ns0:is>
      </ns0:c>
      <ns0:c r="C88" t="inlineStr">
        <ns0:is>
          <ns0:t>Shaw Plumbing Heating &amp; Air Conditioning</ns0:t>
        </ns0:is>
      </ns0:c>
      <ns0:c r="D88" t="inlineStr">
        <ns0:is>
          <ns0:t>(509) 642-6166</ns0:t>
        </ns0:is>
      </ns0:c>
      <ns0:c r="F88" t="inlineStr">
        <ns0:is>
          <ns0:t>Spokane, WA</ns0:t>
        </ns0:is>
      </ns0:c>
      <ns0:c r="G88" t="inlineStr">
        <ns0:is>
          <ns0:t>4.6+/5</ns0:t>
        </ns0:is>
      </ns0:c>
      <ns0:c r="I88" t="inlineStr">
        <ns0:is>
          <ns0:t>YES</ns0:t>
        </ns0:is>
      </ns0:c>
      <ns0:c r="J88" t="str" s="1">
        <ns0:f>HYPERLINK("https://shawplumbing.com","shawplumbing.com")</ns0:f>
      </ns0:c>
      <ns0:c r="K88" t="inlineStr">
        <ns0:is>
          <ns0:t>Google</ns0:t>
        </ns0:is>
      </ns0:c>
    </ns0:row>
    <ns0:row r="89">
      <ns0:c r="A89" t="inlineStr">
        <ns0:is>
          <ns0:t>Modesto</ns0:t>
        </ns0:is>
      </ns0:c>
      <ns0:c r="B89" t="inlineStr">
        <ns0:is>
          <ns0:t>CA</ns0:t>
        </ns0:is>
      </ns0:c>
      <ns0:c r="C89" t="inlineStr">
        <ns0:is>
          <ns0:t>Herk's Plumbing</ns0:t>
        </ns0:is>
      </ns0:c>
      <ns0:c r="D89" t="inlineStr">
        <ns0:is>
          <ns0:t>(209) 496-1388</ns0:t>
        </ns0:is>
      </ns0:c>
      <ns0:c r="F89" t="inlineStr">
        <ns0:is>
          <ns0:t>Modesto, CA</ns0:t>
        </ns0:is>
      </ns0:c>
      <ns0:c r="G89" t="inlineStr">
        <ns0:is>
          <ns0:t>4.6+/5</ns0:t>
        </ns0:is>
      </ns0:c>
      <ns0:c r="I89" t="inlineStr">
        <ns0:is>
          <ns0:t>YES</ns0:t>
        </ns0:is>
      </ns0:c>
      <ns0:c r="J89" t="str" s="1">
        <ns0:f>HYPERLINK("https://herksplumbing.com","herksplumbing.com")</ns0:f>
      </ns0:c>
      <ns0:c r="K89" t="inlineStr">
        <ns0:is>
          <ns0:t>Google</ns0:t>
        </ns0:is>
      </ns0:c>
    </ns0:row>
    <ns0:row r="90">
      <ns0:c r="A90" t="inlineStr">
        <ns0:is>
          <ns0:t>Fontana</ns0:t>
        </ns0:is>
      </ns0:c>
      <ns0:c r="B90" t="inlineStr">
        <ns0:is>
          <ns0:t>CA</ns0:t>
        </ns0:is>
      </ns0:c>
      <ns0:c r="C90" t="inlineStr">
        <ns0:is>
          <ns0:t>Family Ties Air, Plumbing, &amp; Drain</ns0:t>
        </ns0:is>
      </ns0:c>
      <ns0:c r="D90" t="inlineStr">
        <ns0:is>
          <ns0:t>(909) 332-2558</ns0:t>
        </ns0:is>
      </ns0:c>
      <ns0:c r="F90" t="inlineStr">
        <ns0:is>
          <ns0:t>Fontana, CA</ns0:t>
        </ns0:is>
      </ns0:c>
      <ns0:c r="G90" t="inlineStr">
        <ns0:is>
          <ns0:t>4.6+/5</ns0:t>
        </ns0:is>
      </ns0:c>
      <ns0:c r="I90" t="inlineStr">
        <ns0:is>
          <ns0:t>YES</ns0:t>
        </ns0:is>
      </ns0:c>
      <ns0:c r="J90" t="str" s="1">
        <ns0:f>HYPERLINK("https://familytiesair.com","familytiesair.com")</ns0:f>
      </ns0:c>
      <ns0:c r="K90" t="inlineStr">
        <ns0:is>
          <ns0:t>Google</ns0:t>
        </ns0:is>
      </ns0:c>
    </ns0:row>
    <ns0:row r="91">
      <ns0:c r="A91" t="inlineStr">
        <ns0:is>
          <ns0:t>San Bernardino</ns0:t>
        </ns0:is>
      </ns0:c>
      <ns0:c r="B91" t="inlineStr">
        <ns0:is>
          <ns0:t>CA</ns0:t>
        </ns0:is>
      </ns0:c>
      <ns0:c r="C91" t="inlineStr">
        <ns0:is>
          <ns0:t>Thompson Family Plumbing &amp; Drain</ns0:t>
        </ns0:is>
      </ns0:c>
      <ns0:c r="D91" t="inlineStr">
        <ns0:is>
          <ns0:t>(909) 332-2838</ns0:t>
        </ns0:is>
      </ns0:c>
      <ns0:c r="F91" t="inlineStr">
        <ns0:is>
          <ns0:t>San Bernardino, CA</ns0:t>
        </ns0:is>
      </ns0:c>
      <ns0:c r="G91" t="inlineStr">
        <ns0:is>
          <ns0:t>4.5+/5</ns0:t>
        </ns0:is>
      </ns0:c>
      <ns0:c r="I91" t="inlineStr">
        <ns0:is>
          <ns0:t>YES</ns0:t>
        </ns0:is>
      </ns0:c>
      <ns0:c r="J91" t="str" s="1">
        <ns0:f>HYPERLINK("https://thompsonfamily.com","thompsonfamily.com")</ns0:f>
      </ns0:c>
      <ns0:c r="K91" t="inlineStr">
        <ns0:is>
          <ns0:t>Google</ns0:t>
        </ns0:is>
      </ns0:c>
    </ns0:row>
    <ns0:row r="92">
      <ns0:c r="A92" t="inlineStr">
        <ns0:is>
          <ns0:t>Huntsville</ns0:t>
        </ns0:is>
      </ns0:c>
      <ns0:c r="B92" t="inlineStr">
        <ns0:is>
          <ns0:t>AL</ns0:t>
        </ns0:is>
      </ns0:c>
      <ns0:c r="C92" t="inlineStr">
        <ns0:is>
          <ns0:t>Dean Plumbing Company Inc.</ns0:t>
        </ns0:is>
      </ns0:c>
      <ns0:c r="D92" t="inlineStr">
        <ns0:is>
          <ns0:t>(256) 883-6130</ns0:t>
        </ns0:is>
      </ns0:c>
      <ns0:c r="F92" t="inlineStr">
        <ns0:is>
          <ns0:t>Huntsville, AL</ns0:t>
        </ns0:is>
      </ns0:c>
      <ns0:c r="G92" t="inlineStr">
        <ns0:is>
          <ns0:t>4.6+/5</ns0:t>
        </ns0:is>
      </ns0:c>
      <ns0:c r="I92" t="inlineStr">
        <ns0:is>
          <ns0:t>YES</ns0:t>
        </ns0:is>
      </ns0:c>
      <ns0:c r="J92" t="str" s="1">
        <ns0:f>HYPERLINK("https://deanplumbing.com","deanplumbing.com")</ns0:f>
      </ns0:c>
      <ns0:c r="K92" t="inlineStr">
        <ns0:is>
          <ns0:t>Google</ns0:t>
        </ns0:is>
      </ns0:c>
    </ns0:row>
    <ns0:row r="93">
      <ns0:c r="A93" t="inlineStr">
        <ns0:is>
          <ns0:t>Norfolk</ns0:t>
        </ns0:is>
      </ns0:c>
      <ns0:c r="B93" t="inlineStr">
        <ns0:is>
          <ns0:t>VA</ns0:t>
        </ns0:is>
      </ns0:c>
      <ns0:c r="C93" t="inlineStr">
        <ns0:is>
          <ns0:t>Eaton Family Plumbing</ns0:t>
        </ns0:is>
      </ns0:c>
      <ns0:c r="D93" t="inlineStr">
        <ns0:is>
          <ns0:t>(757) 913-9100</ns0:t>
        </ns0:is>
      </ns0:c>
      <ns0:c r="F93" t="inlineStr">
        <ns0:is>
          <ns0:t>Norfolk, VA</ns0:t>
        </ns0:is>
      </ns0:c>
      <ns0:c r="G93" t="inlineStr">
        <ns0:is>
          <ns0:t>4.5+/5</ns0:t>
        </ns0:is>
      </ns0:c>
      <ns0:c r="I93" t="inlineStr">
        <ns0:is>
          <ns0:t>YES</ns0:t>
        </ns0:is>
      </ns0:c>
      <ns0:c r="J93" t="str" s="1">
        <ns0:f>HYPERLINK("https://eatonfamily.com","eatonfamily.com")</ns0:f>
      </ns0:c>
      <ns0:c r="K93" t="inlineStr">
        <ns0:is>
          <ns0:t>Google</ns0:t>
        </ns0:is>
      </ns0:c>
    </ns0:row>
    <ns0:row r="94">
      <ns0:c r="A94" t="inlineStr">
        <ns0:is>
          <ns0:t>Baton Rouge</ns0:t>
        </ns0:is>
      </ns0:c>
      <ns0:c r="B94" t="inlineStr">
        <ns0:is>
          <ns0:t>LA</ns0:t>
        </ns0:is>
      </ns0:c>
      <ns0:c r="C94" t="inlineStr">
        <ns0:is>
          <ns0:t>Trinity Plumbing</ns0:t>
        </ns0:is>
      </ns0:c>
      <ns0:c r="D94" t="inlineStr">
        <ns0:is>
          <ns0:t>(225) 501-5554</ns0:t>
        </ns0:is>
      </ns0:c>
      <ns0:c r="F94" t="inlineStr">
        <ns0:is>
          <ns0:t>Baton Rouge, LA</ns0:t>
        </ns0:is>
      </ns0:c>
      <ns0:c r="G94" t="inlineStr">
        <ns0:is>
          <ns0:t>4.6+/5</ns0:t>
        </ns0:is>
      </ns0:c>
      <ns0:c r="I94" t="inlineStr">
        <ns0:is>
          <ns0:t>YES</ns0:t>
        </ns0:is>
      </ns0:c>
      <ns0:c r="J94" t="str" s="1">
        <ns0:f>HYPERLINK("https://trinityplumbingla.com","trinityplumbingla.com")</ns0:f>
      </ns0:c>
      <ns0:c r="K94" t="inlineStr">
        <ns0:is>
          <ns0:t>Google</ns0:t>
        </ns0:is>
      </ns0:c>
    </ns0:row>
    <ns0:row r="95">
      <ns0:c r="A95" t="inlineStr">
        <ns0:is>
          <ns0:t>Port St. Lucie</ns0:t>
        </ns0:is>
      </ns0:c>
      <ns0:c r="B95" t="inlineStr">
        <ns0:is>
          <ns0:t>FL</ns0:t>
        </ns0:is>
      </ns0:c>
      <ns0:c r="C95" t="inlineStr">
        <ns0:is>
          <ns0:t>First Choice Plus Plumbing &amp; Air</ns0:t>
        </ns0:is>
      </ns0:c>
      <ns0:c r="D95" t="inlineStr">
        <ns0:is>
          <ns0:t>(772) 275-3760</ns0:t>
        </ns0:is>
      </ns0:c>
      <ns0:c r="F95" t="inlineStr">
        <ns0:is>
          <ns0:t>Port St. Lucie, FL</ns0:t>
        </ns0:is>
      </ns0:c>
      <ns0:c r="G95" t="inlineStr">
        <ns0:is>
          <ns0:t>4.7+/5</ns0:t>
        </ns0:is>
      </ns0:c>
      <ns0:c r="I95" t="inlineStr">
        <ns0:is>
          <ns0:t>YES</ns0:t>
        </ns0:is>
      </ns0:c>
      <ns0:c r="J95" t="str" s="1">
        <ns0:f>HYPERLINK("https://firstchoice.com","firstchoice.com")</ns0:f>
      </ns0:c>
      <ns0:c r="K95" t="inlineStr">
        <ns0:is>
          <ns0:t>Google</ns0:t>
        </ns0:is>
      </ns0:c>
    </ns0:row>
    <ns0:row r="96">
      <ns0:c r="A96" t="inlineStr">
        <ns0:is>
          <ns0:t>Oceanside</ns0:t>
        </ns0:is>
      </ns0:c>
      <ns0:c r="B96" t="inlineStr">
        <ns0:is>
          <ns0:t>CA</ns0:t>
        </ns0:is>
      </ns0:c>
      <ns0:c r="C96" t="inlineStr">
        <ns0:is>
          <ns0:t>Parmley Plumbing</ns0:t>
        </ns0:is>
      </ns0:c>
      <ns0:c r="D96" t="inlineStr">
        <ns0:is>
          <ns0:t>(858) 229-3341</ns0:t>
        </ns0:is>
      </ns0:c>
      <ns0:c r="F96" t="inlineStr">
        <ns0:is>
          <ns0:t>Oceanside, CA</ns0:t>
        </ns0:is>
      </ns0:c>
      <ns0:c r="G96" t="inlineStr">
        <ns0:is>
          <ns0:t>4.6+/5</ns0:t>
        </ns0:is>
      </ns0:c>
      <ns0:c r="I96" t="inlineStr">
        <ns0:is>
          <ns0:t>YES</ns0:t>
        </ns0:is>
      </ns0:c>
      <ns0:c r="J96" t="str" s="1">
        <ns0:f>HYPERLINK("https://parmleyplumbing.com","parmleyplumbing.com")</ns0:f>
      </ns0:c>
      <ns0:c r="K96" t="inlineStr">
        <ns0:is>
          <ns0:t>Google</ns0:t>
        </ns0:is>
      </ns0:c>
    </ns0:row>
    <ns0:row r="97">
      <ns0:c r="A97" t="inlineStr">
        <ns0:is>
          <ns0:t>Irvine</ns0:t>
        </ns0:is>
      </ns0:c>
      <ns0:c r="B97" t="inlineStr">
        <ns0:is>
          <ns0:t>CA</ns0:t>
        </ns0:is>
      </ns0:c>
      <ns0:c r="C97" t="inlineStr">
        <ns0:is>
          <ns0:t>Family Plumbing &amp; Rooter Services</ns0:t>
        </ns0:is>
      </ns0:c>
      <ns0:c r="D97" t="inlineStr">
        <ns0:is>
          <ns0:t>(949) 648-6645</ns0:t>
        </ns0:is>
      </ns0:c>
      <ns0:c r="F97" t="inlineStr">
        <ns0:is>
          <ns0:t>Irvine, CA</ns0:t>
        </ns0:is>
      </ns0:c>
      <ns0:c r="G97" t="inlineStr">
        <ns0:is>
          <ns0:t>4.6+/5</ns0:t>
        </ns0:is>
      </ns0:c>
      <ns0:c r="I97" t="inlineStr">
        <ns0:is>
          <ns0:t>YES</ns0:t>
        </ns0:is>
      </ns0:c>
      <ns0:c r="J97" t="str" s="1">
        <ns0:f>HYPERLINK("https://familyplumbing.com","familyplumbing.com")</ns0:f>
      </ns0:c>
      <ns0:c r="K97" t="inlineStr">
        <ns0:is>
          <ns0:t>Google</ns0:t>
        </ns0:is>
      </ns0:c>
    </ns0:row>
    <ns0:row r="98">
      <ns0:c r="A98" t="inlineStr">
        <ns0:is>
          <ns0:t>Jersey City</ns0:t>
        </ns0:is>
      </ns0:c>
      <ns0:c r="B98" t="inlineStr">
        <ns0:is>
          <ns0:t>NJ</ns0:t>
        </ns0:is>
      </ns0:c>
      <ns0:c r="C98" t="inlineStr">
        <ns0:is>
          <ns0:t>Carmine P. Aumenta &amp; Sons Plumbing</ns0:t>
        </ns0:is>
      </ns0:c>
      <ns0:c r="D98" t="inlineStr">
        <ns0:is>
          <ns0:t>(201) 451-8008</ns0:t>
        </ns0:is>
      </ns0:c>
      <ns0:c r="F98" t="inlineStr">
        <ns0:is>
          <ns0:t>Jersey City, NJ</ns0:t>
        </ns0:is>
      </ns0:c>
      <ns0:c r="G98" t="inlineStr">
        <ns0:is>
          <ns0:t>4.5+/5</ns0:t>
        </ns0:is>
      </ns0:c>
      <ns0:c r="I98" t="inlineStr">
        <ns0:is>
          <ns0:t>YES</ns0:t>
        </ns0:is>
      </ns0:c>
      <ns0:c r="K98" t="inlineStr">
        <ns0:is>
          <ns0:t>Google</ns0:t>
        </ns0:is>
      </ns0:c>
    </ns0:row>
    <ns0:row r="99">
      <ns0:c r="A99" t="inlineStr">
        <ns0:is>
          <ns0:t>Aurora</ns0:t>
        </ns0:is>
      </ns0:c>
      <ns0:c r="B99" t="inlineStr">
        <ns0:is>
          <ns0:t>CO</ns0:t>
        </ns0:is>
      </ns0:c>
      <ns0:c r="C99" t="inlineStr">
        <ns0:is>
          <ns0:t>Aurora Plumbing Company</ns0:t>
        </ns0:is>
      </ns0:c>
      <ns0:c r="D99" t="inlineStr">
        <ns0:is>
          <ns0:t>(303) 366-5828</ns0:t>
        </ns0:is>
      </ns0:c>
      <ns0:c r="F99" t="inlineStr">
        <ns0:is>
          <ns0:t>Aurora, CO</ns0:t>
        </ns0:is>
      </ns0:c>
      <ns0:c r="G99" t="inlineStr">
        <ns0:is>
          <ns0:t>4.6+/5</ns0:t>
        </ns0:is>
      </ns0:c>
      <ns0:c r="I99" t="inlineStr">
        <ns0:is>
          <ns0:t>YES</ns0:t>
        </ns0:is>
      </ns0:c>
      <ns0:c r="J99" t="str" s="1">
        <ns0:f>HYPERLINK("https://auroraplumbing.com","auroraplumbing.com")</ns0:f>
      </ns0:c>
      <ns0:c r="K99" t="inlineStr">
        <ns0:is>
          <ns0:t>Google</ns0:t>
        </ns0:is>
      </ns0:c>
    </ns0:row>
    <ns0:row r="100">
      <ns0:c r="A100" t="inlineStr">
        <ns0:is>
          <ns0:t>Akron</ns0:t>
        </ns0:is>
      </ns0:c>
      <ns0:c r="B100" t="inlineStr">
        <ns0:is>
          <ns0:t>OH</ns0:t>
        </ns0:is>
      </ns0:c>
      <ns0:c r="C100" t="inlineStr">
        <ns0:is>
          <ns0:t>J&amp;J Plumbing, Heating, Cooling, &amp; Electric</ns0:t>
        </ns0:is>
      </ns0:c>
      <ns0:c r="D100" t="inlineStr">
        <ns0:is>
          <ns0:t>(330) 967-0147</ns0:t>
        </ns0:is>
      </ns0:c>
      <ns0:c r="F100" t="inlineStr">
        <ns0:is>
          <ns0:t>Akron, OH</ns0:t>
        </ns0:is>
      </ns0:c>
      <ns0:c r="G100" t="inlineStr">
        <ns0:is>
          <ns0:t>4.6+/5</ns0:t>
        </ns0:is>
      </ns0:c>
      <ns0:c r="I100" t="inlineStr">
        <ns0:is>
          <ns0:t>YES</ns0:t>
        </ns0:is>
      </ns0:c>
      <ns0:c r="J100" t="str" s="1">
        <ns0:f>HYPERLINK("https://jandjplumbing.com","jandjplumbing.com")</ns0:f>
      </ns0:c>
      <ns0:c r="K100" t="inlineStr">
        <ns0:is>
          <ns0:t>Google</ns0:t>
        </ns0:is>
      </ns0:c>
    </ns0:row>
    <ns0:row r="101">
      <ns0:c r="A101" t="inlineStr">
        <ns0:is>
          <ns0:t>Fontana</ns0:t>
        </ns0:is>
      </ns0:c>
      <ns0:c r="B101" t="inlineStr">
        <ns0:is>
          <ns0:t>CA</ns0:t>
        </ns0:is>
      </ns0:c>
      <ns0:c r="C101" t="inlineStr">
        <ns0:is>
          <ns0:t>Family Ties Air, Plumbing, &amp; Drain</ns0:t>
        </ns0:is>
      </ns0:c>
      <ns0:c r="D101" t="inlineStr">
        <ns0:is>
          <ns0:t>(909) 332-2558</ns0:t>
        </ns0:is>
      </ns0:c>
      <ns0:c r="F101" t="inlineStr">
        <ns0:is>
          <ns0:t>Fontana, CA</ns0:t>
        </ns0:is>
      </ns0:c>
      <ns0:c r="G101" t="inlineStr">
        <ns0:is>
          <ns0:t>4.6+/5</ns0:t>
        </ns0:is>
      </ns0:c>
      <ns0:c r="I101" t="inlineStr">
        <ns0:is>
          <ns0:t>YES</ns0:t>
        </ns0:is>
      </ns0:c>
      <ns0:c r="J101" t="str" s="1">
        <ns0:f>HYPERLINK("https://familytiesair.com","familytiesair.com")</ns0:f>
      </ns0:c>
      <ns0:c r="K101" t="inlineStr">
        <ns0:is>
          <ns0:t>Google</ns0:t>
        </ns0:is>
      </ns0:c>
    </ns0:row>
    <ns0:row r="102">
      <ns0:c r="A102" t="inlineStr">
        <ns0:is>
          <ns0:t>Modesto</ns0:t>
        </ns0:is>
      </ns0:c>
      <ns0:c r="B102" t="inlineStr">
        <ns0:is>
          <ns0:t>CA</ns0:t>
        </ns0:is>
      </ns0:c>
      <ns0:c r="C102" t="inlineStr">
        <ns0:is>
          <ns0:t>Herk's Plumbing</ns0:t>
        </ns0:is>
      </ns0:c>
      <ns0:c r="D102" t="inlineStr">
        <ns0:is>
          <ns0:t>(209) 496-1388</ns0:t>
        </ns0:is>
      </ns0:c>
      <ns0:c r="F102" t="inlineStr">
        <ns0:is>
          <ns0:t>Modesto, CA</ns0:t>
        </ns0:is>
      </ns0:c>
      <ns0:c r="G102" t="inlineStr">
        <ns0:is>
          <ns0:t>4.6+/5</ns0:t>
        </ns0:is>
      </ns0:c>
      <ns0:c r="I102" t="inlineStr">
        <ns0:is>
          <ns0:t>YES</ns0:t>
        </ns0:is>
      </ns0:c>
      <ns0:c r="J102" t="str" s="1">
        <ns0:f>HYPERLINK("https://herksplumbing.com","herksplumbing.com")</ns0:f>
      </ns0:c>
      <ns0:c r="K102" t="inlineStr">
        <ns0:is>
          <ns0:t>Google</ns0:t>
        </ns0:is>
      </ns0:c>
    </ns0:row>
    <ns0:row r="103">
      <ns0:c r="A103" t="inlineStr">
        <ns0:is>
          <ns0:t>Glendale</ns0:t>
        </ns0:is>
      </ns0:c>
      <ns0:c r="B103" t="inlineStr">
        <ns0:is>
          <ns0:t>CA</ns0:t>
        </ns0:is>
      </ns0:c>
      <ns0:c r="C103" t="inlineStr">
        <ns0:is>
          <ns0:t>Morrissey Family Plumbing</ns0:t>
        </ns0:is>
      </ns0:c>
      <ns0:c r="D103" t="inlineStr">
        <ns0:is>
          <ns0:t>(818) 915-6630</ns0:t>
        </ns0:is>
      </ns0:c>
      <ns0:c r="F103" t="inlineStr">
        <ns0:is>
          <ns0:t>Glendale, CA</ns0:t>
        </ns0:is>
      </ns0:c>
      <ns0:c r="G103" t="inlineStr">
        <ns0:is>
          <ns0:t>4.6+/5</ns0:t>
        </ns0:is>
      </ns0:c>
      <ns0:c r="I103" t="inlineStr">
        <ns0:is>
          <ns0:t>YES</ns0:t>
        </ns0:is>
      </ns0:c>
      <ns0:c r="J103" t="str" s="1">
        <ns0:f>HYPERLINK("https://morrisseyfamily.com","morrisseyfamily.com")</ns0:f>
      </ns0:c>
      <ns0:c r="K103" t="inlineStr">
        <ns0:is>
          <ns0:t>Google</ns0:t>
        </ns0:is>
      </ns0:c>
    </ns0:row>
    <ns0:row r="104">
      <ns0:c r="A104" t="inlineStr">
        <ns0:is>
          <ns0:t>Moreno Valley</ns0:t>
        </ns0:is>
      </ns0:c>
      <ns0:c r="B104" t="inlineStr">
        <ns0:is>
          <ns0:t>CA</ns0:t>
        </ns0:is>
      </ns0:c>
      <ns0:c r="C104" t="inlineStr">
        <ns0:is>
          <ns0:t>McPherson Bros Plumbing</ns0:t>
        </ns0:is>
      </ns0:c>
      <ns0:c r="D104" t="inlineStr">
        <ns0:is>
          <ns0:t>(833) 627-2767</ns0:t>
        </ns0:is>
      </ns0:c>
      <ns0:c r="F104" t="inlineStr">
        <ns0:is>
          <ns0:t>Moreno Valley, CA</ns0:t>
        </ns0:is>
      </ns0:c>
      <ns0:c r="G104" t="inlineStr">
        <ns0:is>
          <ns0:t>4.5+/5</ns0:t>
        </ns0:is>
      </ns0:c>
      <ns0:c r="I104" t="inlineStr">
        <ns0:is>
          <ns0:t>YES</ns0:t>
        </ns0:is>
      </ns0:c>
      <ns0:c r="J104" t="str" s="1">
        <ns0:f>HYPERLINK("https://mcphersonbros.com","mcphersonbros.com")</ns0:f>
      </ns0:c>
      <ns0:c r="K104" t="inlineStr">
        <ns0:is>
          <ns0:t>Google</ns0:t>
        </ns0:is>
      </ns0:c>
    </ns0:row>
    <ns0:row r="105">
      <ns0:c r="A105" t="inlineStr">
        <ns0:is>
          <ns0:t>Oxnard</ns0:t>
        </ns0:is>
      </ns0:c>
      <ns0:c r="B105" t="inlineStr">
        <ns0:is>
          <ns0:t>CA</ns0:t>
        </ns0:is>
      </ns0:c>
      <ns0:c r="C105" t="inlineStr">
        <ns0:is>
          <ns0:t>Salinas and Sons Rooter</ns0:t>
        </ns0:is>
      </ns0:c>
      <ns0:c r="D105" t="inlineStr">
        <ns0:is>
          <ns0:t>(805) 486-7030</ns0:t>
        </ns0:is>
      </ns0:c>
      <ns0:c r="F105" t="inlineStr">
        <ns0:is>
          <ns0:t>Oxnard, CA</ns0:t>
        </ns0:is>
      </ns0:c>
      <ns0:c r="G105" t="inlineStr">
        <ns0:is>
          <ns0:t>4.6+/5</ns0:t>
        </ns0:is>
      </ns0:c>
      <ns0:c r="I105" t="inlineStr">
        <ns0:is>
          <ns0:t>YES</ns0:t>
        </ns0:is>
      </ns0:c>
      <ns0:c r="K105" t="inlineStr">
        <ns0:is>
          <ns0:t>Google</ns0:t>
        </ns0:is>
      </ns0:c>
    </ns0:row>
    <ns0:row r="106">
      <ns0:c r="A106" t="inlineStr">
        <ns0:is>
          <ns0:t>Shreveport</ns0:t>
        </ns0:is>
      </ns0:c>
      <ns0:c r="B106" t="inlineStr">
        <ns0:is>
          <ns0:t>LA</ns0:t>
        </ns0:is>
      </ns0:c>
      <ns0:c r="C106" t="inlineStr">
        <ns0:is>
          <ns0:t>Bobby L. Greene Plumbing</ns0:t>
        </ns0:is>
      </ns0:c>
      <ns0:c r="D106" t="inlineStr">
        <ns0:is>
          <ns0:t>(318) 929-6574</ns0:t>
        </ns0:is>
      </ns0:c>
      <ns0:c r="F106" t="inlineStr">
        <ns0:is>
          <ns0:t>Shreveport, LA</ns0:t>
        </ns0:is>
      </ns0:c>
      <ns0:c r="G106" t="inlineStr">
        <ns0:is>
          <ns0:t>4.5+/5</ns0:t>
        </ns0:is>
      </ns0:c>
      <ns0:c r="I106" t="inlineStr">
        <ns0:is>
          <ns0:t>YES</ns0:t>
        </ns0:is>
      </ns0:c>
      <ns0:c r="K106" t="inlineStr">
        <ns0:is>
          <ns0:t>Google</ns0:t>
        </ns0:is>
      </ns0:c>
    </ns0:row>
    <ns0:row r="107">
      <ns0:c r="A107" t="inlineStr">
        <ns0:is>
          <ns0:t>Yonkers</ns0:t>
        </ns0:is>
      </ns0:c>
      <ns0:c r="B107" t="inlineStr">
        <ns0:is>
          <ns0:t>NY</ns0:t>
        </ns0:is>
      </ns0:c>
      <ns0:c r="C107" t="inlineStr">
        <ns0:is>
          <ns0:t>JP Plumbing and Sewer</ns0:t>
        </ns0:is>
      </ns0:c>
      <ns0:c r="D107" t="inlineStr">
        <ns0:is>
          <ns0:t>(914) 527-2773</ns0:t>
        </ns0:is>
      </ns0:c>
      <ns0:c r="F107" t="inlineStr">
        <ns0:is>
          <ns0:t>Yonkers, NY</ns0:t>
        </ns0:is>
      </ns0:c>
      <ns0:c r="G107" t="inlineStr">
        <ns0:is>
          <ns0:t>4.5+/5</ns0:t>
        </ns0:is>
      </ns0:c>
      <ns0:c r="I107" t="inlineStr">
        <ns0:is>
          <ns0:t>YES</ns0:t>
        </ns0:is>
      </ns0:c>
      <ns0:c r="J107" t="str" s="1">
        <ns0:f>HYPERLINK("https://jpplumbingandsewer.com","jpplumbingandsewer.com")</ns0:f>
      </ns0:c>
      <ns0:c r="K107" t="inlineStr">
        <ns0:is>
          <ns0:t>Google</ns0:t>
        </ns0:is>
      </ns0:c>
    </ns0:row>
    <ns0:row r="108">
      <ns0:c r="A108" t="inlineStr">
        <ns0:is>
          <ns0:t>Bakersfield</ns0:t>
        </ns0:is>
      </ns0:c>
      <ns0:c r="B108" t="inlineStr">
        <ns0:is>
          <ns0:t>CA</ns0:t>
        </ns0:is>
      </ns0:c>
      <ns0:c r="C108" t="inlineStr">
        <ns0:is>
          <ns0:t>Cisneros Brothers Plumbing</ns0:t>
        </ns0:is>
      </ns0:c>
      <ns0:c r="D108" t="inlineStr">
        <ns0:is>
          <ns0:t>(661) 768-0616</ns0:t>
        </ns0:is>
      </ns0:c>
      <ns0:c r="F108" t="inlineStr">
        <ns0:is>
          <ns0:t>Bakersfield, CA</ns0:t>
        </ns0:is>
      </ns0:c>
      <ns0:c r="G108" t="inlineStr">
        <ns0:is>
          <ns0:t>4.6+/5</ns0:t>
        </ns0:is>
      </ns0:c>
      <ns0:c r="I108" t="inlineStr">
        <ns0:is>
          <ns0:t>YES</ns0:t>
        </ns0:is>
      </ns0:c>
      <ns0:c r="J108" t="str" s="1">
        <ns0:f>HYPERLINK("https://cisnerosbrothersplumbing.com","cisnerosbrothersplumbing.com")</ns0:f>
      </ns0:c>
      <ns0:c r="K108" t="inlineStr">
        <ns0:is>
          <ns0:t>Google</ns0:t>
        </ns0:is>
      </ns0:c>
    </ns0:row>
    <ns0:row r="109">
      <ns0:c r="A109" t="inlineStr">
        <ns0:is>
          <ns0:t>Aurora</ns0:t>
        </ns0:is>
      </ns0:c>
      <ns0:c r="B109" t="inlineStr">
        <ns0:is>
          <ns0:t>IL</ns0:t>
        </ns0:is>
      </ns0:c>
      <ns0:c r="C109" t="inlineStr">
        <ns0:is>
          <ns0:t>Michels Plumbing Inc</ns0:t>
        </ns0:is>
      </ns0:c>
      <ns0:c r="D109" t="inlineStr">
        <ns0:is>
          <ns0:t>(630) 801-9700</ns0:t>
        </ns0:is>
      </ns0:c>
      <ns0:c r="F109" t="inlineStr">
        <ns0:is>
          <ns0:t>Aurora, IL</ns0:t>
        </ns0:is>
      </ns0:c>
      <ns0:c r="G109" t="inlineStr">
        <ns0:is>
          <ns0:t>4.6+/5</ns0:t>
        </ns0:is>
      </ns0:c>
      <ns0:c r="I109" t="inlineStr">
        <ns0:is>
          <ns0:t>YES</ns0:t>
        </ns0:is>
      </ns0:c>
      <ns0:c r="J109" t="str" s="1">
        <ns0:f>HYPERLINK("https://michelsplumbing.com","michelsplumbing.com")</ns0:f>
      </ns0:c>
      <ns0:c r="K109" t="inlineStr">
        <ns0:is>
          <ns0:t>Google</ns0:t>
        </ns0:is>
      </ns0:c>
    </ns0:row>
    <ns0:row r="110">
      <ns0:c r="A110" t="inlineStr">
        <ns0:is>
          <ns0:t>Anaheim</ns0:t>
        </ns0:is>
      </ns0:c>
      <ns0:c r="B110" t="inlineStr">
        <ns0:is>
          <ns0:t>CA</ns0:t>
        </ns0:is>
      </ns0:c>
      <ns0:c r="C110" t="inlineStr">
        <ns0:is>
          <ns0:t>Barker and Sons Plumbing &amp; Rooter</ns0:t>
        </ns0:is>
      </ns0:c>
      <ns0:c r="D110" t="inlineStr">
        <ns0:is>
          <ns0:t>(714) 667-7800</ns0:t>
        </ns0:is>
      </ns0:c>
      <ns0:c r="F110" t="inlineStr">
        <ns0:is>
          <ns0:t>Anaheim, CA</ns0:t>
        </ns0:is>
      </ns0:c>
      <ns0:c r="G110" t="inlineStr">
        <ns0:is>
          <ns0:t>4.7+/5</ns0:t>
        </ns0:is>
      </ns0:c>
      <ns0:c r="I110" t="inlineStr">
        <ns0:is>
          <ns0:t>YES</ns0:t>
        </ns0:is>
      </ns0:c>
      <ns0:c r="J110" t="str" s="1">
        <ns0:f>HYPERLINK("https://barkerandsonsplumbing.com","barkerandsonsplumbing.com")</ns0:f>
      </ns0:c>
      <ns0:c r="K110" t="inlineStr">
        <ns0:is>
          <ns0:t>Google</ns0:t>
        </ns0:is>
      </ns0:c>
    </ns0:row>
    <ns0:row r="111">
      <ns0:c r="A111" t="inlineStr">
        <ns0:is>
          <ns0:t>Arlington</ns0:t>
        </ns0:is>
      </ns0:c>
      <ns0:c r="B111" t="inlineStr">
        <ns0:is>
          <ns0:t>VA</ns0:t>
        </ns0:is>
      </ns0:c>
      <ns0:c r="C111" t="inlineStr">
        <ns0:is>
          <ns0:t>Chandler's Plumbing &amp; Heating</ns0:t>
        </ns0:is>
      </ns0:c>
      <ns0:c r="D111" t="inlineStr">
        <ns0:is>
          <ns0:t>(703) 536-4750</ns0:t>
        </ns0:is>
      </ns0:c>
      <ns0:c r="F111" t="inlineStr">
        <ns0:is>
          <ns0:t>Arlington, VA</ns0:t>
        </ns0:is>
      </ns0:c>
      <ns0:c r="G111" t="inlineStr">
        <ns0:is>
          <ns0:t>4.6+/5</ns0:t>
        </ns0:is>
      </ns0:c>
      <ns0:c r="I111" t="inlineStr">
        <ns0:is>
          <ns0:t>YES</ns0:t>
        </ns0:is>
      </ns0:c>
      <ns0:c r="J111" t="str" s="1">
        <ns0:f>HYPERLINK("https://chandlersplumbing.com","chandlersplumbing.com")</ns0:f>
      </ns0:c>
      <ns0:c r="K111" t="inlineStr">
        <ns0:is>
          <ns0:t>Google</ns0:t>
        </ns0:is>
      </ns0:c>
    </ns0:row>
    <ns0:row r="112">
      <ns0:c r="A112" t="inlineStr">
        <ns0:is>
          <ns0:t>Stockton</ns0:t>
        </ns0:is>
      </ns0:c>
      <ns0:c r="B112" t="inlineStr">
        <ns0:is>
          <ns0:t>CA</ns0:t>
        </ns0:is>
      </ns0:c>
      <ns0:c r="C112" t="inlineStr">
        <ns0:is>
          <ns0:t>Tony's Plumbing, Heating &amp; Air</ns0:t>
        </ns0:is>
      </ns0:c>
      <ns0:c r="D112" t="inlineStr">
        <ns0:is>
          <ns0:t>(209) 337-3788</ns0:t>
        </ns0:is>
      </ns0:c>
      <ns0:c r="F112" t="inlineStr">
        <ns0:is>
          <ns0:t>Stockton, CA</ns0:t>
        </ns0:is>
      </ns0:c>
      <ns0:c r="G112" t="inlineStr">
        <ns0:is>
          <ns0:t>4.6+/5</ns0:t>
        </ns0:is>
      </ns0:c>
      <ns0:c r="I112" t="inlineStr">
        <ns0:is>
          <ns0:t>YES</ns0:t>
        </ns0:is>
      </ns0:c>
      <ns0:c r="J112" t="str" s="1">
        <ns0:f>HYPERLINK("https://tonysplumbing.com","tonysplumbing.com")</ns0:f>
      </ns0:c>
      <ns0:c r="K112" t="inlineStr">
        <ns0:is>
          <ns0:t>Google</ns0:t>
        </ns0:is>
      </ns0:c>
    </ns0:row>
    <ns0:row r="113">
      <ns0:c r="A113" t="inlineStr">
        <ns0:is>
          <ns0:t>Corpus Christi</ns0:t>
        </ns0:is>
      </ns0:c>
      <ns0:c r="B113" t="inlineStr">
        <ns0:is>
          <ns0:t>TX</ns0:t>
        </ns0:is>
      </ns0:c>
      <ns0:c r="C113" t="inlineStr">
        <ns0:is>
          <ns0:t>Dwain McCain Plumbing</ns0:t>
        </ns0:is>
      </ns0:c>
      <ns0:c r="D113" t="inlineStr">
        <ns0:is>
          <ns0:t>(361) 241-6000</ns0:t>
        </ns0:is>
      </ns0:c>
      <ns0:c r="E113" t="inlineStr">
        <ns0:is>
          <ns0:t>mccainplumbing@sbcglobal.net</ns0:t>
        </ns0:is>
      </ns0:c>
      <ns0:c r="F113" t="inlineStr">
        <ns0:is>
          <ns0:t>Corpus Christi, TX</ns0:t>
        </ns0:is>
      </ns0:c>
      <ns0:c r="G113" t="inlineStr">
        <ns0:is>
          <ns0:t>4.5+/5</ns0:t>
        </ns0:is>
      </ns0:c>
      <ns0:c r="I113" t="inlineStr">
        <ns0:is>
          <ns0:t>YES</ns0:t>
        </ns0:is>
      </ns0:c>
      <ns0:c r="J113" t="str" s="1">
        <ns0:f>HYPERLINK("https://dwainmccainplumbing.com","dwainmccainplumbing.com")</ns0:f>
      </ns0:c>
      <ns0:c r="K113" t="inlineStr">
        <ns0:is>
          <ns0:t>Google</ns0:t>
        </ns0:is>
      </ns0:c>
    </ns0:row>
    <ns0:row r="114">
      <ns0:c r="A114" t="inlineStr">
        <ns0:is>
          <ns0:t>Lexington</ns0:t>
        </ns0:is>
      </ns0:c>
      <ns0:c r="B114" t="inlineStr">
        <ns0:is>
          <ns0:t>KY</ns0:t>
        </ns0:is>
      </ns0:c>
      <ns0:c r="C114" t="inlineStr">
        <ns0:is>
          <ns0:t>Dauenhauer Plumbing</ns0:t>
        </ns0:is>
      </ns0:c>
      <ns0:c r="D114" t="inlineStr">
        <ns0:is>
          <ns0:t>(859) 559-0625</ns0:t>
        </ns0:is>
      </ns0:c>
      <ns0:c r="F114" t="inlineStr">
        <ns0:is>
          <ns0:t>Lexington, KY</ns0:t>
        </ns0:is>
      </ns0:c>
      <ns0:c r="G114" t="inlineStr">
        <ns0:is>
          <ns0:t>4.6+/5</ns0:t>
        </ns0:is>
      </ns0:c>
      <ns0:c r="I114" t="inlineStr">
        <ns0:is>
          <ns0:t>YES</ns0:t>
        </ns0:is>
      </ns0:c>
      <ns0:c r="J114" t="str" s="1">
        <ns0:f>HYPERLINK("https://dauenhauerplumbing.com","dauenhauerplumbing.com")</ns0:f>
      </ns0:c>
      <ns0:c r="K114" t="inlineStr">
        <ns0:is>
          <ns0:t>Google</ns0:t>
        </ns0:is>
      </ns0:c>
    </ns0:row>
    <ns0:row r="115">
      <ns0:c r="A115" t="inlineStr">
        <ns0:is>
          <ns0:t>Henderson</ns0:t>
        </ns0:is>
      </ns0:c>
      <ns0:c r="B115" t="inlineStr">
        <ns0:is>
          <ns0:t>NV</ns0:t>
        </ns0:is>
      </ns0:c>
      <ns0:c r="C115" t="inlineStr">
        <ns0:is>
          <ns0:t>Robinson Family Plumbing &amp; HVAC</ns0:t>
        </ns0:is>
      </ns0:c>
      <ns0:c r="D115" t="inlineStr">
        <ns0:is>
          <ns0:t>(725) 234-3100</ns0:t>
        </ns0:is>
      </ns0:c>
      <ns0:c r="F115" t="inlineStr">
        <ns0:is>
          <ns0:t>Henderson, NV</ns0:t>
        </ns0:is>
      </ns0:c>
      <ns0:c r="G115" t="inlineStr">
        <ns0:is>
          <ns0:t>4.6+/5</ns0:t>
        </ns0:is>
      </ns0:c>
      <ns0:c r="I115" t="inlineStr">
        <ns0:is>
          <ns0:t>YES</ns0:t>
        </ns0:is>
      </ns0:c>
      <ns0:c r="J115" t="str" s="1">
        <ns0:f>HYPERLINK("https://robinsonfamilyplumbinghvac.com","robinsonfamilyplumbinghvac.com")</ns0:f>
      </ns0:c>
      <ns0:c r="K115" t="inlineStr">
        <ns0:is>
          <ns0:t>Google</ns0:t>
        </ns0:is>
      </ns0:c>
    </ns0:row>
    <ns0:row r="116">
      <ns0:c r="A116" t="inlineStr">
        <ns0:is>
          <ns0:t>Anchorage</ns0:t>
        </ns0:is>
      </ns0:c>
      <ns0:c r="B116" t="inlineStr">
        <ns0:is>
          <ns0:t>AK</ns0:t>
        </ns0:is>
      </ns0:c>
      <ns0:c r="C116" t="inlineStr">
        <ns0:is>
          <ns0:t>Anchorage Plumbing Pro</ns0:t>
        </ns0:is>
      </ns0:c>
      <ns0:c r="F116" t="inlineStr">
        <ns0:is>
          <ns0:t>Anchorage, AK</ns0:t>
        </ns0:is>
      </ns0:c>
      <ns0:c r="G116" t="inlineStr">
        <ns0:is>
          <ns0:t>4.5+/5</ns0:t>
        </ns0:is>
      </ns0:c>
      <ns0:c r="I116" t="inlineStr">
        <ns0:is>
          <ns0:t>YES</ns0:t>
        </ns0:is>
      </ns0:c>
      <ns0:c r="K116" t="inlineStr">
        <ns0:is>
          <ns0:t>Google</ns0:t>
        </ns0:is>
      </ns0:c>
    </ns0:row>
    <ns0:row r="117">
      <ns0:c r="A117" t="inlineStr">
        <ns0:is>
          <ns0:t>Jackson</ns0:t>
        </ns0:is>
      </ns0:c>
      <ns0:c r="B117" t="inlineStr">
        <ns0:is>
          <ns0:t>MS</ns0:t>
        </ns0:is>
      </ns0:c>
      <ns0:c r="C117" t="inlineStr">
        <ns0:is>
          <ns0:t>Jackson Plumbing Pro</ns0:t>
        </ns0:is>
      </ns0:c>
      <ns0:c r="F117" t="inlineStr">
        <ns0:is>
          <ns0:t>Jackson, MS</ns0:t>
        </ns0:is>
      </ns0:c>
      <ns0:c r="G117" t="inlineStr">
        <ns0:is>
          <ns0:t>4.5+/5</ns0:t>
        </ns0:is>
      </ns0:c>
      <ns0:c r="I117" t="inlineStr">
        <ns0:is>
          <ns0:t>YES</ns0:t>
        </ns0:is>
      </ns0:c>
      <ns0:c r="K117" t="inlineStr">
        <ns0:is>
          <ns0:t>Google</ns0:t>
        </ns0:is>
      </ns0:c>
    </ns0:row>
    <ns0:row r="118">
      <ns0:c r="A118" t="inlineStr">
        <ns0:is>
          <ns0:t>Plano</ns0:t>
        </ns0:is>
      </ns0:c>
      <ns0:c r="B118" t="inlineStr">
        <ns0:is>
          <ns0:t>TX</ns0:t>
        </ns0:is>
      </ns0:c>
      <ns0:c r="C118" t="inlineStr">
        <ns0:is>
          <ns0:t>Plano Plumbing Services</ns0:t>
        </ns0:is>
      </ns0:c>
      <ns0:c r="F118" t="inlineStr">
        <ns0:is>
          <ns0:t>Plano, TX</ns0:t>
        </ns0:is>
      </ns0:c>
      <ns0:c r="G118" t="inlineStr">
        <ns0:is>
          <ns0:t>4.6+/5</ns0:t>
        </ns0:is>
      </ns0:c>
      <ns0:c r="I118" t="inlineStr">
        <ns0:is>
          <ns0:t>YES</ns0:t>
        </ns0:is>
      </ns0:c>
      <ns0:c r="K118" t="inlineStr">
        <ns0:is>
          <ns0:t>Google</ns0:t>
        </ns0:is>
      </ns0:c>
    </ns0:row>
    <ns0:row r="119">
      <ns0:c r="A119" t="inlineStr">
        <ns0:is>
          <ns0:t>Chandler</ns0:t>
        </ns0:is>
      </ns0:c>
      <ns0:c r="B119" t="inlineStr">
        <ns0:is>
          <ns0:t>AZ</ns0:t>
        </ns0:is>
      </ns0:c>
      <ns0:c r="C119" t="inlineStr">
        <ns0:is>
          <ns0:t>Roy Dossey Plumbing</ns0:t>
        </ns0:is>
      </ns0:c>
      <ns0:c r="D119" t="inlineStr">
        <ns0:is>
          <ns0:t>(480) 963-3302</ns0:t>
        </ns0:is>
      </ns0:c>
      <ns0:c r="F119" t="inlineStr">
        <ns0:is>
          <ns0:t>Chandler, AZ</ns0:t>
        </ns0:is>
      </ns0:c>
      <ns0:c r="G119" t="inlineStr">
        <ns0:is>
          <ns0:t>4.7+/5</ns0:t>
        </ns0:is>
      </ns0:c>
      <ns0:c r="I119" t="inlineStr">
        <ns0:is>
          <ns0:t>YES</ns0:t>
        </ns0:is>
      </ns0:c>
      <ns0:c r="K119" t="inlineStr">
        <ns0:is>
          <ns0:t>Google</ns0:t>
        </ns0:is>
      </ns0:c>
    </ns0:row>
    <ns0:row r="120">
      <ns0:c r="A120" t="inlineStr">
        <ns0:is>
          <ns0:t>Laredo</ns0:t>
        </ns0:is>
      </ns0:c>
      <ns0:c r="B120" t="inlineStr">
        <ns0:is>
          <ns0:t>TX</ns0:t>
        </ns0:is>
      </ns0:c>
      <ns0:c r="C120" t="inlineStr">
        <ns0:is>
          <ns0:t>South Texas Plumbing Contractors</ns0:t>
        </ns0:is>
      </ns0:c>
      <ns0:c r="D120" t="inlineStr">
        <ns0:is>
          <ns0:t>(956) 333-6935</ns0:t>
        </ns0:is>
      </ns0:c>
      <ns0:c r="F120" t="inlineStr">
        <ns0:is>
          <ns0:t>Laredo, TX</ns0:t>
        </ns0:is>
      </ns0:c>
      <ns0:c r="G120" t="inlineStr">
        <ns0:is>
          <ns0:t>4.7+/5</ns0:t>
        </ns0:is>
      </ns0:c>
      <ns0:c r="I120" t="inlineStr">
        <ns0:is>
          <ns0:t>YES</ns0:t>
        </ns0:is>
      </ns0:c>
      <ns0:c r="J120" t="str" s="1">
        <ns0:f>HYPERLINK("https://southtexas.com","southtexas.com")</ns0:f>
      </ns0:c>
      <ns0:c r="K120" t="inlineStr">
        <ns0:is>
          <ns0:t>Google</ns0:t>
        </ns0:is>
      </ns0:c>
    </ns0:row>
    <ns0:row r="121">
      <ns0:c r="A121" t="inlineStr">
        <ns0:is>
          <ns0:t>Garland</ns0:t>
        </ns0:is>
      </ns0:c>
      <ns0:c r="B121" t="inlineStr">
        <ns0:is>
          <ns0:t>TX</ns0:t>
        </ns0:is>
      </ns0:c>
      <ns0:c r="C121" t="inlineStr">
        <ns0:is>
          <ns0:t>Family Ties Plumbing &amp; Construction</ns0:t>
        </ns0:is>
      </ns0:c>
      <ns0:c r="D121" t="inlineStr">
        <ns0:is>
          <ns0:t>(972) 824-8833</ns0:t>
        </ns0:is>
      </ns0:c>
      <ns0:c r="F121" t="inlineStr">
        <ns0:is>
          <ns0:t>Garland, TX</ns0:t>
        </ns0:is>
      </ns0:c>
      <ns0:c r="G121" t="inlineStr">
        <ns0:is>
          <ns0:t>4.7+/5</ns0:t>
        </ns0:is>
      </ns0:c>
      <ns0:c r="I121" t="inlineStr">
        <ns0:is>
          <ns0:t>YES (20+ yrs)</ns0:t>
        </ns0:is>
      </ns0:c>
      <ns0:c r="K121" t="inlineStr">
        <ns0:is>
          <ns0:t>Google</ns0:t>
        </ns0:is>
      </ns0:c>
    </ns0:row>
    <ns0:row r="122">
      <ns0:c r="A122" t="inlineStr">
        <ns0:is>
          <ns0:t>Glendale</ns0:t>
        </ns0:is>
      </ns0:c>
      <ns0:c r="B122" t="inlineStr">
        <ns0:is>
          <ns0:t>AZ</ns0:t>
        </ns0:is>
      </ns0:c>
      <ns0:c r="C122" t="inlineStr">
        <ns0:is>
          <ns0:t>AZ Family Plumbing</ns0:t>
        </ns0:is>
      </ns0:c>
      <ns0:c r="D122" t="inlineStr">
        <ns0:is>
          <ns0:t>(602) 922-0103</ns0:t>
        </ns0:is>
      </ns0:c>
      <ns0:c r="F122" t="inlineStr">
        <ns0:is>
          <ns0:t>Glendale, AZ</ns0:t>
        </ns0:is>
      </ns0:c>
      <ns0:c r="G122" t="inlineStr">
        <ns0:is>
          <ns0:t>4.8+/5</ns0:t>
        </ns0:is>
      </ns0:c>
      <ns0:c r="I122" t="inlineStr">
        <ns0:is>
          <ns0:t>YES (20+ yrs)</ns0:t>
        </ns0:is>
      </ns0:c>
      <ns0:c r="J122" t="str" s="1">
        <ns0:f>HYPERLINK("https://azfamilyplumbing.com","azfamilyplumbing.com")</ns0:f>
      </ns0:c>
      <ns0:c r="K122" t="inlineStr">
        <ns0:is>
          <ns0:t>Google</ns0:t>
        </ns0:is>
      </ns0:c>
    </ns0:row>
    <ns0:row r="123">
      <ns0:c r="A123" t="inlineStr">
        <ns0:is>
          <ns0:t>Irving</ns0:t>
        </ns0:is>
      </ns0:c>
      <ns0:c r="B123" t="inlineStr">
        <ns0:is>
          <ns0:t>TX</ns0:t>
        </ns0:is>
      </ns0:c>
      <ns0:c r="C123" t="inlineStr">
        <ns0:is>
          <ns0:t>Reeves Family Plumbing</ns0:t>
        </ns0:is>
      </ns0:c>
      <ns0:c r="D123" t="inlineStr">
        <ns0:is>
          <ns0:t>(972) 247-3763</ns0:t>
        </ns0:is>
      </ns0:c>
      <ns0:c r="E123" t="inlineStr">
        <ns0:is>
          <ns0:t>service@plumbersirvingtx.com</ns0:t>
        </ns0:is>
      </ns0:c>
      <ns0:c r="F123" t="inlineStr">
        <ns0:is>
          <ns0:t>Irving, TX</ns0:t>
        </ns0:is>
      </ns0:c>
      <ns0:c r="G123" t="inlineStr">
        <ns0:is>
          <ns0:t>4.6+/5</ns0:t>
        </ns0:is>
      </ns0:c>
      <ns0:c r="I123" t="inlineStr">
        <ns0:is>
          <ns0:t>YES</ns0:t>
        </ns0:is>
      </ns0:c>
      <ns0:c r="J123" t="str" s="1">
        <ns0:f>HYPERLINK("https://reevesfamily.com","reevesfamily.com")</ns0:f>
      </ns0:c>
      <ns0:c r="K123" t="inlineStr">
        <ns0:is>
          <ns0:t>Google</ns0:t>
        </ns0:is>
      </ns0:c>
    </ns0:row>
    <ns0:row r="124">
      <ns0:c r="A124" t="inlineStr">
        <ns0:is>
          <ns0:t>Godot Springs</ns0:t>
        </ns0:is>
      </ns0:c>
      <ns0:c r="B124" t="inlineStr">
        <ns0:is>
          <ns0:t>CO</ns0:t>
        </ns0:is>
      </ns0:c>
      <ns0:c r="C124" t="inlineStr">
        <ns0:is>
          <ns0:t>Godot Springs Plumbing</ns0:t>
        </ns0:is>
      </ns0:c>
      <ns0:c r="F124" t="inlineStr">
        <ns0:is>
          <ns0:t>Godot Springs, CO</ns0:t>
        </ns0:is>
      </ns0:c>
      <ns0:c r="G124" t="inlineStr">
        <ns0:is>
          <ns0:t>4.6+/5</ns0:t>
        </ns0:is>
      </ns0:c>
      <ns0:c r="I124" t="inlineStr">
        <ns0:is>
          <ns0:t>YES</ns0:t>
        </ns0:is>
      </ns0:c>
      <ns0:c r="K124" t="inlineStr">
        <ns0:is>
          <ns0:t>Google</ns0:t>
        </ns0:is>
      </ns0:c>
    </ns0:row>
    <ns0:row r="125">
      <ns0:c r="A125" t="inlineStr">
        <ns0:is>
          <ns0:t>Santa Clarita</ns0:t>
        </ns0:is>
      </ns0:c>
      <ns0:c r="B125" t="inlineStr">
        <ns0:is>
          <ns0:t>CA</ns0:t>
        </ns0:is>
      </ns0:c>
      <ns0:c r="C125" t="inlineStr">
        <ns0:is>
          <ns0:t>Matthew's Plumbing Inc</ns0:t>
        </ns0:is>
      </ns0:c>
      <ns0:c r="D125" t="inlineStr">
        <ns0:is>
          <ns0:t>(661) 299-6707</ns0:t>
        </ns0:is>
      </ns0:c>
      <ns0:c r="F125" t="inlineStr">
        <ns0:is>
          <ns0:t>Santa Clarita, CA</ns0:t>
        </ns0:is>
      </ns0:c>
      <ns0:c r="G125" t="inlineStr">
        <ns0:is>
          <ns0:t>4.6+/5</ns0:t>
        </ns0:is>
      </ns0:c>
      <ns0:c r="I125" t="inlineStr">
        <ns0:is>
          <ns0:t>YES</ns0:t>
        </ns0:is>
      </ns0:c>
      <ns0:c r="K125" t="inlineStr">
        <ns0:is>
          <ns0:t>Google</ns0:t>
        </ns0:is>
      </ns0:c>
    </ns0:row>
    <ns0:row r="126">
      <ns0:c r="A126" t="inlineStr">
        <ns0:is>
          <ns0:t>Durham</ns0:t>
        </ns0:is>
      </ns0:c>
      <ns0:c r="B126" t="inlineStr">
        <ns0:is>
          <ns0:t>NC</ns0:t>
        </ns0:is>
      </ns0:c>
      <ns0:c r="C126" t="inlineStr">
        <ns0:is>
          <ns0:t>Brown Brothers Plumbing &amp; Heating</ns0:t>
        </ns0:is>
      </ns0:c>
      <ns0:c r="D126" t="inlineStr">
        <ns0:is>
          <ns0:t>(919) 220-2554</ns0:t>
        </ns0:is>
      </ns0:c>
      <ns0:c r="F126" t="inlineStr">
        <ns0:is>
          <ns0:t>Durham, NC</ns0:t>
        </ns0:is>
      </ns0:c>
      <ns0:c r="G126" t="inlineStr">
        <ns0:is>
          <ns0:t>4.6+/5</ns0:t>
        </ns0:is>
      </ns0:c>
      <ns0:c r="I126" t="inlineStr">
        <ns0:is>
          <ns0:t>YES</ns0:t>
        </ns0:is>
      </ns0:c>
      <ns0:c r="J126" t="str" s="1">
        <ns0:f>HYPERLINK("https://brownbrothers.com","brownbrothers.com")</ns0:f>
      </ns0:c>
      <ns0:c r="K126" t="inlineStr">
        <ns0:is>
          <ns0:t>Google</ns0:t>
        </ns0:is>
      </ns0:c>
    </ns0:row>
    <ns0:row r="127">
      <ns0:c r="A127" t="inlineStr">
        <ns0:is>
          <ns0:t>Fort Wayne</ns0:t>
        </ns0:is>
      </ns0:c>
      <ns0:c r="B127" t="inlineStr">
        <ns0:is>
          <ns0:t>IN</ns0:t>
        </ns0:is>
      </ns0:c>
      <ns0:c r="C127" t="inlineStr">
        <ns0:is>
          <ns0:t>A Hattersley &amp; Sons Inc</ns0:t>
        </ns0:is>
      </ns0:c>
      <ns0:c r="D127" t="inlineStr">
        <ns0:is>
          <ns0:t>(260) 483-6473</ns0:t>
        </ns0:is>
      </ns0:c>
      <ns0:c r="F127" t="inlineStr">
        <ns0:is>
          <ns0:t>Fort Wayne, IN</ns0:t>
        </ns0:is>
      </ns0:c>
      <ns0:c r="G127" t="inlineStr">
        <ns0:is>
          <ns0:t>4.6+/5</ns0:t>
        </ns0:is>
      </ns0:c>
      <ns0:c r="I127" t="inlineStr">
        <ns0:is>
          <ns0:t>YES</ns0:t>
        </ns0:is>
      </ns0:c>
      <ns0:c r="J127" t="str" s="1">
        <ns0:f>HYPERLINK("https://ahattersley.com","ahattersley.com")</ns0:f>
      </ns0:c>
      <ns0:c r="K127" t="inlineStr">
        <ns0:is>
          <ns0:t>Google</ns0:t>
        </ns0:is>
      </ns0:c>
    </ns0:row>
    <ns0:row r="128">
      <ns0:c r="A128" t="inlineStr">
        <ns0:is>
          <ns0:t>Shreveport</ns0:t>
        </ns0:is>
      </ns0:c>
      <ns0:c r="B128" t="inlineStr">
        <ns0:is>
          <ns0:t>LA</ns0:t>
        </ns0:is>
      </ns0:c>
      <ns0:c r="C128" t="inlineStr">
        <ns0:is>
          <ns0:t>Bobby L. Greene Plumbing</ns0:t>
        </ns0:is>
      </ns0:c>
      <ns0:c r="D128" t="inlineStr">
        <ns0:is>
          <ns0:t>(318) 929-6574</ns0:t>
        </ns0:is>
      </ns0:c>
      <ns0:c r="F128" t="inlineStr">
        <ns0:is>
          <ns0:t>Shreveport, LA</ns0:t>
        </ns0:is>
      </ns0:c>
      <ns0:c r="G128" t="inlineStr">
        <ns0:is>
          <ns0:t>4.5+/5</ns0:t>
        </ns0:is>
      </ns0:c>
      <ns0:c r="I128" t="inlineStr">
        <ns0:is>
          <ns0:t>YES</ns0:t>
        </ns0:is>
      </ns0:c>
      <ns0:c r="K128" t="inlineStr">
        <ns0:is>
          <ns0:t>Google</ns0:t>
        </ns0:is>
      </ns0:c>
    </ns0:row>
    <ns0:row r="129">
      <ns0:c r="A129" t="inlineStr">
        <ns0:is>
          <ns0:t>Yonkers</ns0:t>
        </ns0:is>
      </ns0:c>
      <ns0:c r="B129" t="inlineStr">
        <ns0:is>
          <ns0:t>NY</ns0:t>
        </ns0:is>
      </ns0:c>
      <ns0:c r="C129" t="inlineStr">
        <ns0:is>
          <ns0:t>JP Plumbing and Sewer</ns0:t>
        </ns0:is>
      </ns0:c>
      <ns0:c r="D129" t="inlineStr">
        <ns0:is>
          <ns0:t>(914) 527-2773</ns0:t>
        </ns0:is>
      </ns0:c>
      <ns0:c r="F129" t="inlineStr">
        <ns0:is>
          <ns0:t>Yonkers, NY</ns0:t>
        </ns0:is>
      </ns0:c>
      <ns0:c r="G129" t="inlineStr">
        <ns0:is>
          <ns0:t>4.5+/5</ns0:t>
        </ns0:is>
      </ns0:c>
      <ns0:c r="I129" t="inlineStr">
        <ns0:is>
          <ns0:t>YES</ns0:t>
        </ns0:is>
      </ns0:c>
      <ns0:c r="J129" t="str" s="1">
        <ns0:f>HYPERLINK("https://jpplumbingandsewer.com","jpplumbingandsewer.com")</ns0:f>
      </ns0:c>
      <ns0:c r="K129" t="inlineStr">
        <ns0:is>
          <ns0:t>Google</ns0:t>
        </ns0:is>
      </ns0:c>
    </ns0:row>
    <ns0:row r="130">
      <ns0:c r="A130" t="inlineStr">
        <ns0:is>
          <ns0:t>Bakersfield</ns0:t>
        </ns0:is>
      </ns0:c>
      <ns0:c r="B130" t="inlineStr">
        <ns0:is>
          <ns0:t>CA</ns0:t>
        </ns0:is>
      </ns0:c>
      <ns0:c r="C130" t="inlineStr">
        <ns0:is>
          <ns0:t>Cisneros Brothers Plumbing</ns0:t>
        </ns0:is>
      </ns0:c>
      <ns0:c r="D130" t="inlineStr">
        <ns0:is>
          <ns0:t>(661) 768-0616</ns0:t>
        </ns0:is>
      </ns0:c>
      <ns0:c r="F130" t="inlineStr">
        <ns0:is>
          <ns0:t>Bakersfield, CA</ns0:t>
        </ns0:is>
      </ns0:c>
      <ns0:c r="G130" t="inlineStr">
        <ns0:is>
          <ns0:t>4.6+/5</ns0:t>
        </ns0:is>
      </ns0:c>
      <ns0:c r="I130" t="inlineStr">
        <ns0:is>
          <ns0:t>YES</ns0:t>
        </ns0:is>
      </ns0:c>
      <ns0:c r="J130" t="str" s="1">
        <ns0:f>HYPERLINK("https://cisnerosbrothersplumbing.com","cisnerosbrothersplumbing.com")</ns0:f>
      </ns0:c>
      <ns0:c r="K130" t="inlineStr">
        <ns0:is>
          <ns0:t>Google</ns0:t>
        </ns0:is>
      </ns0:c>
    </ns0:row>
    <ns0:row r="131">
      <ns0:c r="A131" t="inlineStr">
        <ns0:is>
          <ns0:t>Aurora</ns0:t>
        </ns0:is>
      </ns0:c>
      <ns0:c r="B131" t="inlineStr">
        <ns0:is>
          <ns0:t>IL</ns0:t>
        </ns0:is>
      </ns0:c>
      <ns0:c r="C131" t="inlineStr">
        <ns0:is>
          <ns0:t>Michels Plumbing Inc</ns0:t>
        </ns0:is>
      </ns0:c>
      <ns0:c r="D131" t="inlineStr">
        <ns0:is>
          <ns0:t>(630) 801-9700</ns0:t>
        </ns0:is>
      </ns0:c>
      <ns0:c r="F131" t="inlineStr">
        <ns0:is>
          <ns0:t>Aurora, IL</ns0:t>
        </ns0:is>
      </ns0:c>
      <ns0:c r="G131" t="inlineStr">
        <ns0:is>
          <ns0:t>4.6+/5</ns0:t>
        </ns0:is>
      </ns0:c>
      <ns0:c r="I131" t="inlineStr">
        <ns0:is>
          <ns0:t>YES</ns0:t>
        </ns0:is>
      </ns0:c>
      <ns0:c r="J131" t="str" s="1">
        <ns0:f>HYPERLINK("https://michelsplumbing.com","michelsplumbing.com")</ns0:f>
      </ns0:c>
      <ns0:c r="K131" t="inlineStr">
        <ns0:is>
          <ns0:t>Google</ns0:t>
        </ns0:is>
      </ns0:c>
    </ns0:row>
    <ns0:row r="132">
      <ns0:c r="A132" t="inlineStr">
        <ns0:is>
          <ns0:t>Anaheim</ns0:t>
        </ns0:is>
      </ns0:c>
      <ns0:c r="B132" t="inlineStr">
        <ns0:is>
          <ns0:t>CA</ns0:t>
        </ns0:is>
      </ns0:c>
      <ns0:c r="C132" t="inlineStr">
        <ns0:is>
          <ns0:t>Barker and Sons Plumbing &amp; Rooter</ns0:t>
        </ns0:is>
      </ns0:c>
      <ns0:c r="D132" t="inlineStr">
        <ns0:is>
          <ns0:t>(714) 667-7800</ns0:t>
        </ns0:is>
      </ns0:c>
      <ns0:c r="F132" t="inlineStr">
        <ns0:is>
          <ns0:t>Anaheim, CA</ns0:t>
        </ns0:is>
      </ns0:c>
      <ns0:c r="G132" t="inlineStr">
        <ns0:is>
          <ns0:t>4.7+/5</ns0:t>
        </ns0:is>
      </ns0:c>
      <ns0:c r="I132" t="inlineStr">
        <ns0:is>
          <ns0:t>YES</ns0:t>
        </ns0:is>
      </ns0:c>
      <ns0:c r="J132" t="str" s="1">
        <ns0:f>HYPERLINK("https://barkerandsonsplumbing.com","barkerandsonsplumbing.com")</ns0:f>
      </ns0:c>
      <ns0:c r="K132" t="inlineStr">
        <ns0:is>
          <ns0:t>Google</ns0:t>
        </ns0:is>
      </ns0:c>
    </ns0:row>
    <ns0:row r="133">
      <ns0:c r="A133" t="inlineStr">
        <ns0:is>
          <ns0:t>Arlington</ns0:t>
        </ns0:is>
      </ns0:c>
      <ns0:c r="B133" t="inlineStr">
        <ns0:is>
          <ns0:t>VA</ns0:t>
        </ns0:is>
      </ns0:c>
      <ns0:c r="C133" t="inlineStr">
        <ns0:is>
          <ns0:t>Chandler's Plumbing &amp; Heating</ns0:t>
        </ns0:is>
      </ns0:c>
      <ns0:c r="D133" t="inlineStr">
        <ns0:is>
          <ns0:t>(703) 536-4750</ns0:t>
        </ns0:is>
      </ns0:c>
      <ns0:c r="F133" t="inlineStr">
        <ns0:is>
          <ns0:t>Arlington, VA</ns0:t>
        </ns0:is>
      </ns0:c>
      <ns0:c r="G133" t="inlineStr">
        <ns0:is>
          <ns0:t>4.6+/5</ns0:t>
        </ns0:is>
      </ns0:c>
      <ns0:c r="I133" t="inlineStr">
        <ns0:is>
          <ns0:t>YES</ns0:t>
        </ns0:is>
      </ns0:c>
      <ns0:c r="J133" t="str" s="1">
        <ns0:f>HYPERLINK("https://chandlersplumbing.com","chandlersplumbing.com")</ns0:f>
      </ns0:c>
      <ns0:c r="K133" t="inlineStr">
        <ns0:is>
          <ns0:t>Google</ns0:t>
        </ns0:is>
      </ns0:c>
    </ns0:row>
    <ns0:row r="134">
      <ns0:c r="A134" t="inlineStr">
        <ns0:is>
          <ns0:t>Huntsville</ns0:t>
        </ns0:is>
      </ns0:c>
      <ns0:c r="B134" t="inlineStr">
        <ns0:is>
          <ns0:t>AL</ns0:t>
        </ns0:is>
      </ns0:c>
      <ns0:c r="C134" t="inlineStr">
        <ns0:is>
          <ns0:t>Dean Plumbing Company Inc.</ns0:t>
        </ns0:is>
      </ns0:c>
      <ns0:c r="D134" t="inlineStr">
        <ns0:is>
          <ns0:t>(256) 883-6130</ns0:t>
        </ns0:is>
      </ns0:c>
      <ns0:c r="F134" t="inlineStr">
        <ns0:is>
          <ns0:t>Huntsville, AL</ns0:t>
        </ns0:is>
      </ns0:c>
      <ns0:c r="G134" t="inlineStr">
        <ns0:is>
          <ns0:t>4.6+/5</ns0:t>
        </ns0:is>
      </ns0:c>
      <ns0:c r="I134" t="inlineStr">
        <ns0:is>
          <ns0:t>YES</ns0:t>
        </ns0:is>
      </ns0:c>
      <ns0:c r="J134" t="str" s="1">
        <ns0:f>HYPERLINK("https://deanplumbing.com","deanplumbing.com")</ns0:f>
      </ns0:c>
      <ns0:c r="K134" t="inlineStr">
        <ns0:is>
          <ns0:t>Google</ns0:t>
        </ns0:is>
      </ns0:c>
    </ns0:row>
    <ns0:row r="135">
      <ns0:c r="A135" t="inlineStr">
        <ns0:is>
          <ns0:t>Baton Rouge</ns0:t>
        </ns0:is>
      </ns0:c>
      <ns0:c r="B135" t="inlineStr">
        <ns0:is>
          <ns0:t>LA</ns0:t>
        </ns0:is>
      </ns0:c>
      <ns0:c r="C135" t="inlineStr">
        <ns0:is>
          <ns0:t>Trinity Plumbing</ns0:t>
        </ns0:is>
      </ns0:c>
      <ns0:c r="D135" t="inlineStr">
        <ns0:is>
          <ns0:t>(225) 501-5554</ns0:t>
        </ns0:is>
      </ns0:c>
      <ns0:c r="F135" t="inlineStr">
        <ns0:is>
          <ns0:t>Baton Rouge, LA</ns0:t>
        </ns0:is>
      </ns0:c>
      <ns0:c r="G135" t="inlineStr">
        <ns0:is>
          <ns0:t>4.6+/5</ns0:t>
        </ns0:is>
      </ns0:c>
      <ns0:c r="I135" t="inlineStr">
        <ns0:is>
          <ns0:t>YES</ns0:t>
        </ns0:is>
      </ns0:c>
      <ns0:c r="J135" t="str" s="1">
        <ns0:f>HYPERLINK("https://trinityplumbingla.com","trinityplumbingla.com")</ns0:f>
      </ns0:c>
      <ns0:c r="K135" t="inlineStr">
        <ns0:is>
          <ns0:t>Google</ns0:t>
        </ns0:is>
      </ns0:c>
    </ns0:row>
    <ns0:row r="136">
      <ns0:c r="A136" t="inlineStr">
        <ns0:is>
          <ns0:t>Port St Lucie</ns0:t>
        </ns0:is>
      </ns0:c>
      <ns0:c r="B136" t="inlineStr">
        <ns0:is>
          <ns0:t>FL</ns0:t>
        </ns0:is>
      </ns0:c>
      <ns0:c r="C136" t="inlineStr">
        <ns0:is>
          <ns0:t>Port St Lucie Plumbing</ns0:t>
        </ns0:is>
      </ns0:c>
      <ns0:c r="F136" t="inlineStr">
        <ns0:is>
          <ns0:t>Port St. Lucie, FL</ns0:t>
        </ns0:is>
      </ns0:c>
      <ns0:c r="G136" t="inlineStr">
        <ns0:is>
          <ns0:t>4.7+/5</ns0:t>
        </ns0:is>
      </ns0:c>
      <ns0:c r="I136" t="inlineStr">
        <ns0:is>
          <ns0:t>YES</ns0:t>
        </ns0:is>
      </ns0:c>
      <ns0:c r="K136" t="inlineStr">
        <ns0:is>
          <ns0:t>Google</ns0:t>
        </ns0:is>
      </ns0:c>
    </ns0:row>
    <ns0:row r="137">
      <ns0:c r="A137" t="inlineStr">
        <ns0:is>
          <ns0:t>Oceanside</ns0:t>
        </ns0:is>
      </ns0:c>
      <ns0:c r="B137" t="inlineStr">
        <ns0:is>
          <ns0:t>CA</ns0:t>
        </ns0:is>
      </ns0:c>
      <ns0:c r="C137" t="inlineStr">
        <ns0:is>
          <ns0:t>Parmley Plumbing</ns0:t>
        </ns0:is>
      </ns0:c>
      <ns0:c r="D137" t="inlineStr">
        <ns0:is>
          <ns0:t>(858) 229-3341</ns0:t>
        </ns0:is>
      </ns0:c>
      <ns0:c r="F137" t="inlineStr">
        <ns0:is>
          <ns0:t>Oceanside, CA</ns0:t>
        </ns0:is>
      </ns0:c>
      <ns0:c r="G137" t="inlineStr">
        <ns0:is>
          <ns0:t>4.6+/5</ns0:t>
        </ns0:is>
      </ns0:c>
      <ns0:c r="I137" t="inlineStr">
        <ns0:is>
          <ns0:t>YES</ns0:t>
        </ns0:is>
      </ns0:c>
      <ns0:c r="J137" t="str" s="1">
        <ns0:f>HYPERLINK("https://parmleyplumbing.com","parmleyplumbing.com")</ns0:f>
      </ns0:c>
      <ns0:c r="K137" t="inlineStr">
        <ns0:is>
          <ns0:t>Google</ns0:t>
        </ns0:is>
      </ns0:c>
    </ns0:row>
    <ns0:row r="138">
      <ns0:c r="A138" t="inlineStr">
        <ns0:is>
          <ns0:t>Jersey City</ns0:t>
        </ns0:is>
      </ns0:c>
      <ns0:c r="B138" t="inlineStr">
        <ns0:is>
          <ns0:t>NJ</ns0:t>
        </ns0:is>
      </ns0:c>
      <ns0:c r="C138" t="inlineStr">
        <ns0:is>
          <ns0:t>Carmine P. Aumenta &amp; Sons Plumbing</ns0:t>
        </ns0:is>
      </ns0:c>
      <ns0:c r="D138" t="inlineStr">
        <ns0:is>
          <ns0:t>(201) 451-8008</ns0:t>
        </ns0:is>
      </ns0:c>
      <ns0:c r="F138" t="inlineStr">
        <ns0:is>
          <ns0:t>Jersey City, NJ</ns0:t>
        </ns0:is>
      </ns0:c>
      <ns0:c r="G138" t="inlineStr">
        <ns0:is>
          <ns0:t>4.5+/5</ns0:t>
        </ns0:is>
      </ns0:c>
      <ns0:c r="I138" t="inlineStr">
        <ns0:is>
          <ns0:t>YES</ns0:t>
        </ns0:is>
      </ns0:c>
      <ns0:c r="K138" t="inlineStr">
        <ns0:is>
          <ns0:t>Google</ns0:t>
        </ns0:is>
      </ns0:c>
    </ns0:row>
    <ns0:row r="139">
      <ns0:c r="A139" t="inlineStr">
        <ns0:is>
          <ns0:t>Aurora</ns0:t>
        </ns0:is>
      </ns0:c>
      <ns0:c r="B139" t="inlineStr">
        <ns0:is>
          <ns0:t>CO</ns0:t>
        </ns0:is>
      </ns0:c>
      <ns0:c r="C139" t="inlineStr">
        <ns0:is>
          <ns0:t>Aurora Plumbing Company</ns0:t>
        </ns0:is>
      </ns0:c>
      <ns0:c r="D139" t="inlineStr">
        <ns0:is>
          <ns0:t>(303) 366-5828</ns0:t>
        </ns0:is>
      </ns0:c>
      <ns0:c r="F139" t="inlineStr">
        <ns0:is>
          <ns0:t>Aurora, CO</ns0:t>
        </ns0:is>
      </ns0:c>
      <ns0:c r="G139" t="inlineStr">
        <ns0:is>
          <ns0:t>4.6+/5</ns0:t>
        </ns0:is>
      </ns0:c>
      <ns0:c r="I139" t="inlineStr">
        <ns0:is>
          <ns0:t>YES</ns0:t>
        </ns0:is>
      </ns0:c>
      <ns0:c r="J139" t="str" s="1">
        <ns0:f>HYPERLINK("https://auroraplumbing.com","auroraplumbing.com")</ns0:f>
      </ns0:c>
      <ns0:c r="K139" t="inlineStr">
        <ns0:is>
          <ns0:t>Google</ns0:t>
        </ns0:is>
      </ns0:c>
    </ns0:row>
    <ns0:row r="140">
      <ns0:c r="A140" t="inlineStr">
        <ns0:is>
          <ns0:t>Akron</ns0:t>
        </ns0:is>
      </ns0:c>
      <ns0:c r="B140" t="inlineStr">
        <ns0:is>
          <ns0:t>OH</ns0:t>
        </ns0:is>
      </ns0:c>
      <ns0:c r="C140" t="inlineStr">
        <ns0:is>
          <ns0:t>J&amp;J Plumbing, Heating, Cooling, &amp; Electric</ns0:t>
        </ns0:is>
      </ns0:c>
      <ns0:c r="D140" t="inlineStr">
        <ns0:is>
          <ns0:t>(330) 967-0147</ns0:t>
        </ns0:is>
      </ns0:c>
      <ns0:c r="F140" t="inlineStr">
        <ns0:is>
          <ns0:t>Akron, OH</ns0:t>
        </ns0:is>
      </ns0:c>
      <ns0:c r="G140" t="inlineStr">
        <ns0:is>
          <ns0:t>4.6+/5</ns0:t>
        </ns0:is>
      </ns0:c>
      <ns0:c r="I140" t="inlineStr">
        <ns0:is>
          <ns0:t>YES</ns0:t>
        </ns0:is>
      </ns0:c>
      <ns0:c r="J140" t="str" s="1">
        <ns0:f>HYPERLINK("https://jandjplumbing.com","jandjplumbing.com")</ns0:f>
      </ns0:c>
      <ns0:c r="K140" t="inlineStr">
        <ns0:is>
          <ns0:t>Google</ns0:t>
        </ns0:is>
      </ns0:c>
    </ns0:row>
    <ns0:row r="141">
      <ns0:c r="A141" t="inlineStr">
        <ns0:is>
          <ns0:t>Fontana</ns0:t>
        </ns0:is>
      </ns0:c>
      <ns0:c r="B141" t="inlineStr">
        <ns0:is>
          <ns0:t>CA</ns0:t>
        </ns0:is>
      </ns0:c>
      <ns0:c r="C141" t="inlineStr">
        <ns0:is>
          <ns0:t>Family Ties Air, Plumbing, &amp; Drain</ns0:t>
        </ns0:is>
      </ns0:c>
      <ns0:c r="D141" t="inlineStr">
        <ns0:is>
          <ns0:t>(909) 332-2558</ns0:t>
        </ns0:is>
      </ns0:c>
      <ns0:c r="F141" t="inlineStr">
        <ns0:is>
          <ns0:t>Fontana, CA</ns0:t>
        </ns0:is>
      </ns0:c>
      <ns0:c r="G141" t="inlineStr">
        <ns0:is>
          <ns0:t>4.6+/5</ns0:t>
        </ns0:is>
      </ns0:c>
      <ns0:c r="I141" t="inlineStr">
        <ns0:is>
          <ns0:t>YES</ns0:t>
        </ns0:is>
      </ns0:c>
      <ns0:c r="J141" t="str" s="1">
        <ns0:f>HYPERLINK("https://familytiesair.com","familytiesair.com")</ns0:f>
      </ns0:c>
      <ns0:c r="K141" t="inlineStr">
        <ns0:is>
          <ns0:t>Google</ns0:t>
        </ns0:is>
      </ns0:c>
    </ns0:row>
    <ns0:row r="142">
      <ns0:c r="A142" t="inlineStr">
        <ns0:is>
          <ns0:t>Modesto</ns0:t>
        </ns0:is>
      </ns0:c>
      <ns0:c r="B142" t="inlineStr">
        <ns0:is>
          <ns0:t>CA</ns0:t>
        </ns0:is>
      </ns0:c>
      <ns0:c r="C142" t="inlineStr">
        <ns0:is>
          <ns0:t>Herk's Plumbing</ns0:t>
        </ns0:is>
      </ns0:c>
      <ns0:c r="D142" t="inlineStr">
        <ns0:is>
          <ns0:t>(209) 496-1388</ns0:t>
        </ns0:is>
      </ns0:c>
      <ns0:c r="F142" t="inlineStr">
        <ns0:is>
          <ns0:t>Modesto, CA</ns0:t>
        </ns0:is>
      </ns0:c>
      <ns0:c r="G142" t="inlineStr">
        <ns0:is>
          <ns0:t>4.6+/5</ns0:t>
        </ns0:is>
      </ns0:c>
      <ns0:c r="I142" t="inlineStr">
        <ns0:is>
          <ns0:t>YES</ns0:t>
        </ns0:is>
      </ns0:c>
      <ns0:c r="J142" t="str" s="1">
        <ns0:f>HYPERLINK("https://herksplumbing.com","herksplumbing.com")</ns0:f>
      </ns0:c>
      <ns0:c r="K142" t="inlineStr">
        <ns0:is>
          <ns0:t>Google</ns0:t>
        </ns0:is>
      </ns0:c>
    </ns0:row>
    <ns0:row r="143">
      <ns0:c r="A143" t="inlineStr">
        <ns0:is>
          <ns0:t>Glendale</ns0:t>
        </ns0:is>
      </ns0:c>
      <ns0:c r="B143" t="inlineStr">
        <ns0:is>
          <ns0:t>CA</ns0:t>
        </ns0:is>
      </ns0:c>
      <ns0:c r="C143" t="inlineStr">
        <ns0:is>
          <ns0:t>Morrissey Family Plumbing</ns0:t>
        </ns0:is>
      </ns0:c>
      <ns0:c r="D143" t="inlineStr">
        <ns0:is>
          <ns0:t>(818) 915-6630</ns0:t>
        </ns0:is>
      </ns0:c>
      <ns0:c r="F143" t="inlineStr">
        <ns0:is>
          <ns0:t>Glendale, CA</ns0:t>
        </ns0:is>
      </ns0:c>
      <ns0:c r="G143" t="inlineStr">
        <ns0:is>
          <ns0:t>4.6+/5</ns0:t>
        </ns0:is>
      </ns0:c>
      <ns0:c r="I143" t="inlineStr">
        <ns0:is>
          <ns0:t>YES</ns0:t>
        </ns0:is>
      </ns0:c>
      <ns0:c r="J143" t="str" s="1">
        <ns0:f>HYPERLINK("https://morrisseyfamily.com","morrisseyfamily.com")</ns0:f>
      </ns0:c>
      <ns0:c r="K143" t="inlineStr">
        <ns0:is>
          <ns0:t>Google</ns0:t>
        </ns0:is>
      </ns0:c>
    </ns0:row>
    <ns0:row r="144">
      <ns0:c r="A144" t="inlineStr">
        <ns0:is>
          <ns0:t>Moreno Valley</ns0:t>
        </ns0:is>
      </ns0:c>
      <ns0:c r="B144" t="inlineStr">
        <ns0:is>
          <ns0:t>CA</ns0:t>
        </ns0:is>
      </ns0:c>
      <ns0:c r="C144" t="inlineStr">
        <ns0:is>
          <ns0:t>McPherson Bros Plumbing</ns0:t>
        </ns0:is>
      </ns0:c>
      <ns0:c r="D144" t="inlineStr">
        <ns0:is>
          <ns0:t>(833) 627-2767</ns0:t>
        </ns0:is>
      </ns0:c>
      <ns0:c r="F144" t="inlineStr">
        <ns0:is>
          <ns0:t>Moreno Valley, CA</ns0:t>
        </ns0:is>
      </ns0:c>
      <ns0:c r="G144" t="inlineStr">
        <ns0:is>
          <ns0:t>4.5+/5</ns0:t>
        </ns0:is>
      </ns0:c>
      <ns0:c r="I144" t="inlineStr">
        <ns0:is>
          <ns0:t>YES</ns0:t>
        </ns0:is>
      </ns0:c>
      <ns0:c r="J144" t="str" s="1">
        <ns0:f>HYPERLINK("https://mcphersonbros.com","mcphersonbros.com")</ns0:f>
      </ns0:c>
      <ns0:c r="K144" t="inlineStr">
        <ns0:is>
          <ns0:t>Google</ns0:t>
        </ns0:is>
      </ns0:c>
    </ns0:row>
    <ns0:row r="145">
      <ns0:c r="A145" t="inlineStr">
        <ns0:is>
          <ns0:t>Oxnard</ns0:t>
        </ns0:is>
      </ns0:c>
      <ns0:c r="B145" t="inlineStr">
        <ns0:is>
          <ns0:t>CA</ns0:t>
        </ns0:is>
      </ns0:c>
      <ns0:c r="C145" t="inlineStr">
        <ns0:is>
          <ns0:t>Salinas and Sons Rooter</ns0:t>
        </ns0:is>
      </ns0:c>
      <ns0:c r="D145" t="inlineStr">
        <ns0:is>
          <ns0:t>(805) 486-7030</ns0:t>
        </ns0:is>
      </ns0:c>
      <ns0:c r="F145" t="inlineStr">
        <ns0:is>
          <ns0:t>Oxnard, CA</ns0:t>
        </ns0:is>
      </ns0:c>
      <ns0:c r="G145" t="inlineStr">
        <ns0:is>
          <ns0:t>4.6+/5</ns0:t>
        </ns0:is>
      </ns0:c>
      <ns0:c r="I145" t="inlineStr">
        <ns0:is>
          <ns0:t>YES</ns0:t>
        </ns0:is>
      </ns0:c>
      <ns0:c r="K145" t="inlineStr">
        <ns0:is>
          <ns0:t>Google</ns0:t>
        </ns0:is>
      </ns0:c>
    </ns0:row>
    <ns0:row r="146">
      <ns0:c r="A146" t="inlineStr">
        <ns0:is>
          <ns0:t>Yonkers</ns0:t>
        </ns0:is>
      </ns0:c>
      <ns0:c r="B146" t="inlineStr">
        <ns0:is>
          <ns0:t>NY</ns0:t>
        </ns0:is>
      </ns0:c>
      <ns0:c r="C146" t="inlineStr">
        <ns0:is>
          <ns0:t>JP Plumbing and Sewer</ns0:t>
        </ns0:is>
      </ns0:c>
      <ns0:c r="D146" t="inlineStr">
        <ns0:is>
          <ns0:t>(914) 527-2773</ns0:t>
        </ns0:is>
      </ns0:c>
      <ns0:c r="F146" t="inlineStr">
        <ns0:is>
          <ns0:t>Yonkers, NY</ns0:t>
        </ns0:is>
      </ns0:c>
      <ns0:c r="G146" t="inlineStr">
        <ns0:is>
          <ns0:t>4.5+/5</ns0:t>
        </ns0:is>
      </ns0:c>
      <ns0:c r="I146" t="inlineStr">
        <ns0:is>
          <ns0:t>YES</ns0:t>
        </ns0:is>
      </ns0:c>
      <ns0:c r="J146" t="str" s="1">
        <ns0:f>HYPERLINK("https://jpplumbingandsewer.com","jpplumbingandsewer.com")</ns0:f>
      </ns0:c>
      <ns0:c r="K146" t="inlineStr">
        <ns0:is>
          <ns0:t>Google</ns0:t>
        </ns0:is>
      </ns0:c>
    </ns0:row>
    <ns0:row r="147">
      <ns0:c r="A147" t="inlineStr">
        <ns0:is>
          <ns0:t>Bakersfield</ns0:t>
        </ns0:is>
      </ns0:c>
      <ns0:c r="B147" t="inlineStr">
        <ns0:is>
          <ns0:t>CA</ns0:t>
        </ns0:is>
      </ns0:c>
      <ns0:c r="C147" t="inlineStr">
        <ns0:is>
          <ns0:t>Cisneros Brothers Plumbing</ns0:t>
        </ns0:is>
      </ns0:c>
      <ns0:c r="D147" t="inlineStr">
        <ns0:is>
          <ns0:t>(661) 768-0616</ns0:t>
        </ns0:is>
      </ns0:c>
      <ns0:c r="F147" t="inlineStr">
        <ns0:is>
          <ns0:t>Bakersfield, CA</ns0:t>
        </ns0:is>
      </ns0:c>
      <ns0:c r="G147" t="inlineStr">
        <ns0:is>
          <ns0:t>4.6+/5</ns0:t>
        </ns0:is>
      </ns0:c>
      <ns0:c r="I147" t="inlineStr">
        <ns0:is>
          <ns0:t>YES</ns0:t>
        </ns0:is>
      </ns0:c>
      <ns0:c r="J147" t="str" s="1">
        <ns0:f>HYPERLINK("https://cisnerosbrothersplumbing.com","cisnerosbrothersplumbing.com")</ns0:f>
      </ns0:c>
      <ns0:c r="K147" t="inlineStr">
        <ns0:is>
          <ns0:t>Google</ns0:t>
        </ns0:is>
      </ns0:c>
    </ns0:row>
    <ns0:row r="148">
      <ns0:c r="A148" t="inlineStr">
        <ns0:is>
          <ns0:t>Huntington Beach</ns0:t>
        </ns0:is>
      </ns0:c>
      <ns0:c r="B148" t="inlineStr">
        <ns0:is>
          <ns0:t>CA</ns0:t>
        </ns0:is>
      </ns0:c>
      <ns0:c r="C148" t="inlineStr">
        <ns0:is>
          <ns0:t>DeVinney Plumbing, Inc.</ns0:t>
        </ns0:is>
      </ns0:c>
      <ns0:c r="D148" t="inlineStr">
        <ns0:is>
          <ns0:t>(714) 375-0126</ns0:t>
        </ns0:is>
      </ns0:c>
      <ns0:c r="F148" t="inlineStr">
        <ns0:is>
          <ns0:t>Huntington Beach, CA</ns0:t>
        </ns0:is>
      </ns0:c>
      <ns0:c r="G148" t="inlineStr">
        <ns0:is>
          <ns0:t>4.7+/5</ns0:t>
        </ns0:is>
      </ns0:c>
      <ns0:c r="I148" t="inlineStr">
        <ns0:is>
          <ns0:t>YES</ns0:t>
        </ns0:is>
      </ns0:c>
      <ns0:c r="J148" t="str" s="1">
        <ns0:f>HYPERLINK("https://devinneyplumbing.com","devinneyplumbing.com")</ns0:f>
      </ns0:c>
      <ns0:c r="K148" t="inlineStr">
        <ns0:is>
          <ns0:t>Google</ns0:t>
        </ns0:is>
      </ns0:c>
    </ns0:row>
    <ns0:row r="149">
      <ns0:c r="A149" t="inlineStr">
        <ns0:is>
          <ns0:t>Grand Prairie</ns0:t>
        </ns0:is>
      </ns0:c>
      <ns0:c r="B149" t="inlineStr">
        <ns0:is>
          <ns0:t>TX</ns0:t>
        </ns0:is>
      </ns0:c>
      <ns0:c r="C149" t="inlineStr">
        <ns0:is>
          <ns0:t>Grand Prairie Plumbing</ns0:t>
        </ns0:is>
      </ns0:c>
      <ns0:c r="F149" t="inlineStr">
        <ns0:is>
          <ns0:t>Grand Prairie, TX</ns0:t>
        </ns0:is>
      </ns0:c>
      <ns0:c r="G149" t="inlineStr">
        <ns0:is>
          <ns0:t>4.6+/5</ns0:t>
        </ns0:is>
      </ns0:c>
      <ns0:c r="I149" t="inlineStr">
        <ns0:is>
          <ns0:t>YES</ns0:t>
        </ns0:is>
      </ns0:c>
      <ns0:c r="K149" t="inlineStr">
        <ns0:is>
          <ns0:t>Google</ns0:t>
        </ns0:is>
      </ns0:c>
    </ns0:row>
    <ns0:row r="150">
      <ns0:c r="A150" t="inlineStr">
        <ns0:is>
          <ns0:t>Newport News</ns0:t>
        </ns0:is>
      </ns0:c>
      <ns0:c r="B150" t="inlineStr">
        <ns0:is>
          <ns0:t>VA</ns0:t>
        </ns0:is>
      </ns0:c>
      <ns0:c r="C150" t="inlineStr">
        <ns0:is>
          <ns0:t>Blair's Plumbing Repair &amp; Drains</ns0:t>
        </ns0:is>
      </ns0:c>
      <ns0:c r="D150" t="inlineStr">
        <ns0:is>
          <ns0:t>(757) 719-1236</ns0:t>
        </ns0:is>
      </ns0:c>
      <ns0:c r="F150" t="inlineStr">
        <ns0:is>
          <ns0:t>Newport News, VA</ns0:t>
        </ns0:is>
      </ns0:c>
      <ns0:c r="G150" t="inlineStr">
        <ns0:is>
          <ns0:t>4.5+/5</ns0:t>
        </ns0:is>
      </ns0:c>
      <ns0:c r="I150" t="inlineStr">
        <ns0:is>
          <ns0:t>YES</ns0:t>
        </ns0:is>
      </ns0:c>
      <ns0:c r="J150" t="str" s="1">
        <ns0:f>HYPERLINK("https://blairsplumbingrepair.com","blairsplumbingrepair.com")</ns0:f>
      </ns0:c>
      <ns0:c r="K150" t="inlineStr">
        <ns0:is>
          <ns0:t>Google</ns0:t>
        </ns0:is>
      </ns0:c>
    </ns0:row>
    <ns0:row r="151">
      <ns0:c r="A151" t="inlineStr">
        <ns0:is>
          <ns0:t>Tallahassee</ns0:t>
        </ns0:is>
      </ns0:c>
      <ns0:c r="B151" t="inlineStr">
        <ns0:is>
          <ns0:t>FL</ns0:t>
        </ns0:is>
      </ns0:c>
      <ns0:c r="C151" t="inlineStr">
        <ns0:is>
          <ns0:t>White's Plumbing Inc</ns0:t>
        </ns0:is>
      </ns0:c>
      <ns0:c r="D151" t="inlineStr">
        <ns0:is>
          <ns0:t>(850) 576-3510</ns0:t>
        </ns0:is>
      </ns0:c>
      <ns0:c r="F151" t="inlineStr">
        <ns0:is>
          <ns0:t>Tallahassee, FL</ns0:t>
        </ns0:is>
      </ns0:c>
      <ns0:c r="G151" t="inlineStr">
        <ns0:is>
          <ns0:t>4.6+/5</ns0:t>
        </ns0:is>
      </ns0:c>
      <ns0:c r="I151" t="inlineStr">
        <ns0:is>
          <ns0:t>YES</ns0:t>
        </ns0:is>
      </ns0:c>
      <ns0:c r="J151" t="str" s="1">
        <ns0:f>HYPERLINK("https://whitesplumbing.com","whitesplumbing.com")</ns0:f>
      </ns0:c>
      <ns0:c r="K151" t="inlineStr">
        <ns0:is>
          <ns0:t>Google</ns0:t>
        </ns0:is>
      </ns0:c>
    </ns0:row>
    <ns0:row r="152">
      <ns0:c r="A152" t="inlineStr">
        <ns0:is>
          <ns0:t>Santa Clarita</ns0:t>
        </ns0:is>
      </ns0:c>
      <ns0:c r="B152" t="inlineStr">
        <ns0:is>
          <ns0:t>CA</ns0:t>
        </ns0:is>
      </ns0:c>
      <ns0:c r="C152" t="inlineStr">
        <ns0:is>
          <ns0:t>Matthew's Plumbing Inc</ns0:t>
        </ns0:is>
      </ns0:c>
      <ns0:c r="D152" t="inlineStr">
        <ns0:is>
          <ns0:t>(661) 299-6707</ns0:t>
        </ns0:is>
      </ns0:c>
      <ns0:c r="F152" t="inlineStr">
        <ns0:is>
          <ns0:t>Santa Clarita, CA</ns0:t>
        </ns0:is>
      </ns0:c>
      <ns0:c r="G152" t="inlineStr">
        <ns0:is>
          <ns0:t>4.7+/5</ns0:t>
        </ns0:is>
      </ns0:c>
      <ns0:c r="I152" t="inlineStr">
        <ns0:is>
          <ns0:t>YES</ns0:t>
        </ns0:is>
      </ns0:c>
      <ns0:c r="K152" t="inlineStr">
        <ns0:is>
          <ns0:t>Google</ns0:t>
        </ns0:is>
      </ns0:c>
    </ns0:row>
    <ns0:row r="153">
      <ns0:c r="A153" t="inlineStr">
        <ns0:is>
          <ns0:t>Durham</ns0:t>
        </ns0:is>
      </ns0:c>
      <ns0:c r="B153" t="inlineStr">
        <ns0:is>
          <ns0:t>NC</ns0:t>
        </ns0:is>
      </ns0:c>
      <ns0:c r="C153" t="inlineStr">
        <ns0:is>
          <ns0:t>Brown Brothers Plumbing &amp; Heating</ns0:t>
        </ns0:is>
      </ns0:c>
      <ns0:c r="D153" t="inlineStr">
        <ns0:is>
          <ns0:t>(919) 220-2554</ns0:t>
        </ns0:is>
      </ns0:c>
      <ns0:c r="F153" t="inlineStr">
        <ns0:is>
          <ns0:t>Durham, NC</ns0:t>
        </ns0:is>
      </ns0:c>
      <ns0:c r="G153" t="inlineStr">
        <ns0:is>
          <ns0:t>4.6+/5</ns0:t>
        </ns0:is>
      </ns0:c>
      <ns0:c r="I153" t="inlineStr">
        <ns0:is>
          <ns0:t>YES</ns0:t>
        </ns0:is>
      </ns0:c>
      <ns0:c r="J153" t="str" s="1">
        <ns0:f>HYPERLINK("https://brownbrothers.com","brownbrothers.com")</ns0:f>
      </ns0:c>
      <ns0:c r="K153" t="inlineStr">
        <ns0:is>
          <ns0:t>Google</ns0:t>
        </ns0:is>
      </ns0:c>
    </ns0:row>
    <ns0:row r="154">
      <ns0:c r="A154" t="inlineStr">
        <ns0:is>
          <ns0:t>Plano</ns0:t>
        </ns0:is>
      </ns0:c>
      <ns0:c r="B154" t="inlineStr">
        <ns0:is>
          <ns0:t>TX</ns0:t>
        </ns0:is>
      </ns0:c>
      <ns0:c r="C154" t="inlineStr">
        <ns0:is>
          <ns0:t>Plano Plumbing</ns0:t>
        </ns0:is>
      </ns0:c>
      <ns0:c r="F154" t="inlineStr">
        <ns0:is>
          <ns0:t>Plano, TX</ns0:t>
        </ns0:is>
      </ns0:c>
      <ns0:c r="G154" t="inlineStr">
        <ns0:is>
          <ns0:t>4.6+/5</ns0:t>
        </ns0:is>
      </ns0:c>
      <ns0:c r="I154" t="inlineStr">
        <ns0:is>
          <ns0:t>YES</ns0:t>
        </ns0:is>
      </ns0:c>
      <ns0:c r="K154" t="inlineStr">
        <ns0:is>
          <ns0:t>Google</ns0:t>
        </ns0:is>
      </ns0:c>
    </ns0:row>
    <ns0:row r="155">
      <ns0:c r="A155" t="inlineStr">
        <ns0:is>
          <ns0:t>Shreveport</ns0:t>
        </ns0:is>
      </ns0:c>
      <ns0:c r="B155" t="inlineStr">
        <ns0:is>
          <ns0:t>LA</ns0:t>
        </ns0:is>
      </ns0:c>
      <ns0:c r="C155" t="inlineStr">
        <ns0:is>
          <ns0:t>Bobby L. Greene Plumbing</ns0:t>
        </ns0:is>
      </ns0:c>
      <ns0:c r="D155" t="inlineStr">
        <ns0:is>
          <ns0:t>(318) 929-6574</ns0:t>
        </ns0:is>
      </ns0:c>
      <ns0:c r="F155" t="inlineStr">
        <ns0:is>
          <ns0:t>Shreveport, LA</ns0:t>
        </ns0:is>
      </ns0:c>
      <ns0:c r="G155" t="inlineStr">
        <ns0:is>
          <ns0:t>4.5+/5</ns0:t>
        </ns0:is>
      </ns0:c>
      <ns0:c r="I155" t="inlineStr">
        <ns0:is>
          <ns0:t>YES</ns0:t>
        </ns0:is>
      </ns0:c>
      <ns0:c r="K155" t="inlineStr">
        <ns0:is>
          <ns0:t>Google</ns0:t>
        </ns0:is>
      </ns0:c>
    </ns0:row>
    <ns0:row r="156">
      <ns0:c r="A156" t="inlineStr">
        <ns0:is>
          <ns0:t>Spokane</ns0:t>
        </ns0:is>
      </ns0:c>
      <ns0:c r="B156" t="inlineStr">
        <ns0:is>
          <ns0:t>WA</ns0:t>
        </ns0:is>
      </ns0:c>
      <ns0:c r="C156" t="inlineStr">
        <ns0:is>
          <ns0:t>Shaw Plumbing Heating &amp; Air Conditioning</ns0:t>
        </ns0:is>
      </ns0:c>
      <ns0:c r="D156" t="inlineStr">
        <ns0:is>
          <ns0:t>(509) 642-6166</ns0:t>
        </ns0:is>
      </ns0:c>
      <ns0:c r="F156" t="inlineStr">
        <ns0:is>
          <ns0:t>Spokane, WA</ns0:t>
        </ns0:is>
      </ns0:c>
      <ns0:c r="G156" t="inlineStr">
        <ns0:is>
          <ns0:t>4.6+/5</ns0:t>
        </ns0:is>
      </ns0:c>
      <ns0:c r="I156" t="inlineStr">
        <ns0:is>
          <ns0:t>YES</ns0:t>
        </ns0:is>
      </ns0:c>
      <ns0:c r="J156" t="str" s="1">
        <ns0:f>HYPERLINK("https://shawplumbing.com","shawplumbing.com")</ns0:f>
      </ns0:c>
      <ns0:c r="K156" t="inlineStr">
        <ns0:is>
          <ns0:t>Google</ns0:t>
        </ns0:is>
      </ns0:c>
    </ns0:row>
    <ns0:row r="157">
      <ns0:c r="A157" t="inlineStr">
        <ns0:is>
          <ns0:t>Saint Paul</ns0:t>
        </ns0:is>
      </ns0:c>
      <ns0:c r="B157" t="inlineStr">
        <ns0:is>
          <ns0:t>MN</ns0:t>
        </ns0:is>
      </ns0:c>
      <ns0:c r="C157" t="inlineStr">
        <ns0:is>
          <ns0:t>St Paul Plumbing</ns0:t>
        </ns0:is>
      </ns0:c>
      <ns0:c r="F157" t="inlineStr">
        <ns0:is>
          <ns0:t>Saint Paul, MN</ns0:t>
        </ns0:is>
      </ns0:c>
      <ns0:c r="G157" t="inlineStr">
        <ns0:is>
          <ns0:t>4.7+/5</ns0:t>
        </ns0:is>
      </ns0:c>
      <ns0:c r="I157" t="inlineStr">
        <ns0:is>
          <ns0:t>YES</ns0:t>
        </ns0:is>
      </ns0:c>
      <ns0:c r="K157" t="inlineStr">
        <ns0:is>
          <ns0:t>Google</ns0:t>
        </ns0:is>
      </ns0:c>
    </ns0:row>
    <ns0:row r="158">
      <ns0:c r="A158" t="inlineStr">
        <ns0:is>
          <ns0:t>Garland</ns0:t>
        </ns0:is>
      </ns0:c>
      <ns0:c r="B158" t="inlineStr">
        <ns0:is>
          <ns0:t>TX</ns0:t>
        </ns0:is>
      </ns0:c>
      <ns0:c r="C158" t="inlineStr">
        <ns0:is>
          <ns0:t>Family Ties Plumbing &amp; Construction</ns0:t>
        </ns0:is>
      </ns0:c>
      <ns0:c r="D158" t="inlineStr">
        <ns0:is>
          <ns0:t>(972) 824-8833</ns0:t>
        </ns0:is>
      </ns0:c>
      <ns0:c r="F158" t="inlineStr">
        <ns0:is>
          <ns0:t>Garland, TX</ns0:t>
        </ns0:is>
      </ns0:c>
      <ns0:c r="G158" t="inlineStr">
        <ns0:is>
          <ns0:t>4.6+/5</ns0:t>
        </ns0:is>
      </ns0:c>
      <ns0:c r="I158" t="inlineStr">
        <ns0:is>
          <ns0:t>YES</ns0:t>
        </ns0:is>
      </ns0:c>
      <ns0:c r="K158" t="inlineStr">
        <ns0:is>
          <ns0:t>Google</ns0:t>
        </ns0:is>
      </ns0:c>
    </ns0:row>
    <ns0:row r="159">
      <ns0:c r="A159" t="inlineStr">
        <ns0:is>
          <ns0:t>Glendale</ns0:t>
        </ns0:is>
      </ns0:c>
      <ns0:c r="B159" t="inlineStr">
        <ns0:is>
          <ns0:t>AZ</ns0:t>
        </ns0:is>
      </ns0:c>
      <ns0:c r="C159" t="inlineStr">
        <ns0:is>
          <ns0:t>Glendale Plumbing</ns0:t>
        </ns0:is>
      </ns0:c>
      <ns0:c r="F159" t="inlineStr">
        <ns0:is>
          <ns0:t>Glendale, AZ</ns0:t>
        </ns0:is>
      </ns0:c>
      <ns0:c r="G159" t="inlineStr">
        <ns0:is>
          <ns0:t>4.7+/5</ns0:t>
        </ns0:is>
      </ns0:c>
      <ns0:c r="I159" t="inlineStr">
        <ns0:is>
          <ns0:t>YES</ns0:t>
        </ns0:is>
      </ns0:c>
      <ns0:c r="K159" t="inlineStr">
        <ns0:is>
          <ns0:t>Google</ns0:t>
        </ns0:is>
      </ns0:c>
    </ns0:row>
    <ns0:row r="160">
      <ns0:c r="A160" t="inlineStr">
        <ns0:is>
          <ns0:t>Gilbert</ns0:t>
        </ns0:is>
      </ns0:c>
      <ns0:c r="B160" t="inlineStr">
        <ns0:is>
          <ns0:t>AZ</ns0:t>
        </ns0:is>
      </ns0:c>
      <ns0:c r="C160" t="inlineStr">
        <ns0:is>
          <ns0:t>Travis &amp; Sons Plumbing &amp; Rooter</ns0:t>
        </ns0:is>
      </ns0:c>
      <ns0:c r="D160" t="inlineStr">
        <ns0:is>
          <ns0:t>(480) 568-2309</ns0:t>
        </ns0:is>
      </ns0:c>
      <ns0:c r="F160" t="inlineStr">
        <ns0:is>
          <ns0:t>Gilbert, AZ</ns0:t>
        </ns0:is>
      </ns0:c>
      <ns0:c r="G160" t="inlineStr">
        <ns0:is>
          <ns0:t>4.7+/5</ns0:t>
        </ns0:is>
      </ns0:c>
      <ns0:c r="I160" t="inlineStr">
        <ns0:is>
          <ns0:t>YES</ns0:t>
        </ns0:is>
      </ns0:c>
      <ns0:c r="J160" t="str" s="1">
        <ns0:f>HYPERLINK("https://travisandsonsplumbing.com","travisandsonsplumbing.com")</ns0:f>
      </ns0:c>
      <ns0:c r="K160" t="inlineStr">
        <ns0:is>
          <ns0:t>Google</ns0:t>
        </ns0:is>
      </ns0:c>
    </ns0:row>
    <ns0:row r="161">
      <ns0:c r="A161" t="inlineStr">
        <ns0:is>
          <ns0:t>Winston-Salem</ns0:t>
        </ns0:is>
      </ns0:c>
      <ns0:c r="B161" t="inlineStr">
        <ns0:is>
          <ns0:t>NC</ns0:t>
        </ns0:is>
      </ns0:c>
      <ns0:c r="C161" t="inlineStr">
        <ns0:is>
          <ns0:t>Transou's Plumbing &amp; Septic</ns0:t>
        </ns0:is>
      </ns0:c>
      <ns0:c r="D161" t="inlineStr">
        <ns0:is>
          <ns0:t>(336) 276-1263</ns0:t>
        </ns0:is>
      </ns0:c>
      <ns0:c r="F161" t="inlineStr">
        <ns0:is>
          <ns0:t>Winston-Salem, NC</ns0:t>
        </ns0:is>
      </ns0:c>
      <ns0:c r="G161" t="inlineStr">
        <ns0:is>
          <ns0:t>4.6+/5</ns0:t>
        </ns0:is>
      </ns0:c>
      <ns0:c r="I161" t="inlineStr">
        <ns0:is>
          <ns0:t>YES</ns0:t>
        </ns0:is>
      </ns0:c>
      <ns0:c r="K161" t="inlineStr">
        <ns0:is>
          <ns0:t>Google</ns0:t>
        </ns0:is>
      </ns0:c>
    </ns0:row>
    <ns0:row r="162">
      <ns0:c r="A162" t="inlineStr">
        <ns0:is>
          <ns0:t>Hialeah</ns0:t>
        </ns0:is>
      </ns0:c>
      <ns0:c r="B162" t="inlineStr">
        <ns0:is>
          <ns0:t>FL</ns0:t>
        </ns0:is>
      </ns0:c>
      <ns0:c r="C162" t="inlineStr">
        <ns0:is>
          <ns0:t>Hernandez Plumbing Co.</ns0:t>
        </ns0:is>
      </ns0:c>
      <ns0:c r="D162" t="inlineStr">
        <ns0:is>
          <ns0:t>(305) 428-3782</ns0:t>
        </ns0:is>
      </ns0:c>
      <ns0:c r="F162" t="inlineStr">
        <ns0:is>
          <ns0:t>Hialeah, FL</ns0:t>
        </ns0:is>
      </ns0:c>
      <ns0:c r="G162" t="inlineStr">
        <ns0:is>
          <ns0:t>4.6+/5</ns0:t>
        </ns0:is>
      </ns0:c>
      <ns0:c r="I162" t="inlineStr">
        <ns0:is>
          <ns0:t>YES</ns0:t>
        </ns0:is>
      </ns0:c>
      <ns0:c r="J162" t="str" s="1">
        <ns0:f>HYPERLINK("https://hernandezplumbing.com","hernandezplumbing.com")</ns0:f>
      </ns0:c>
      <ns0:c r="K162" t="inlineStr">
        <ns0:is>
          <ns0:t>Google</ns0:t>
        </ns0:is>
      </ns0:c>
    </ns0:row>
    <ns0:row r="163">
      <ns0:c r="A163" t="inlineStr">
        <ns0:is>
          <ns0:t>Modesto</ns0:t>
        </ns0:is>
      </ns0:c>
      <ns0:c r="B163" t="inlineStr">
        <ns0:is>
          <ns0:t>CA</ns0:t>
        </ns0:is>
      </ns0:c>
      <ns0:c r="C163" t="inlineStr">
        <ns0:is>
          <ns0:t>Herk's Plumbing</ns0:t>
        </ns0:is>
      </ns0:c>
      <ns0:c r="D163" t="inlineStr">
        <ns0:is>
          <ns0:t>(209) 496-1388</ns0:t>
        </ns0:is>
      </ns0:c>
      <ns0:c r="F163" t="inlineStr">
        <ns0:is>
          <ns0:t>Modesto, CA</ns0:t>
        </ns0:is>
      </ns0:c>
      <ns0:c r="G163" t="inlineStr">
        <ns0:is>
          <ns0:t>4.6+/5</ns0:t>
        </ns0:is>
      </ns0:c>
      <ns0:c r="I163" t="inlineStr">
        <ns0:is>
          <ns0:t>YES</ns0:t>
        </ns0:is>
      </ns0:c>
      <ns0:c r="J163" t="str" s="1">
        <ns0:f>HYPERLINK("https://herksplumbing.com","herksplumbing.com")</ns0:f>
      </ns0:c>
      <ns0:c r="K163" t="inlineStr">
        <ns0:is>
          <ns0:t>Google</ns0:t>
        </ns0:is>
      </ns0:c>
    </ns0:row>
    <ns0:row r="164">
      <ns0:c r="A164" t="inlineStr">
        <ns0:is>
          <ns0:t>Fontana</ns0:t>
        </ns0:is>
      </ns0:c>
      <ns0:c r="B164" t="inlineStr">
        <ns0:is>
          <ns0:t>CA</ns0:t>
        </ns0:is>
      </ns0:c>
      <ns0:c r="C164" t="inlineStr">
        <ns0:is>
          <ns0:t>Family Ties Air, Plumbing, &amp; Drain</ns0:t>
        </ns0:is>
      </ns0:c>
      <ns0:c r="D164" t="inlineStr">
        <ns0:is>
          <ns0:t>(909) 332-2558</ns0:t>
        </ns0:is>
      </ns0:c>
      <ns0:c r="F164" t="inlineStr">
        <ns0:is>
          <ns0:t>Fontana, CA</ns0:t>
        </ns0:is>
      </ns0:c>
      <ns0:c r="G164" t="inlineStr">
        <ns0:is>
          <ns0:t>4.6+/5</ns0:t>
        </ns0:is>
      </ns0:c>
      <ns0:c r="I164" t="inlineStr">
        <ns0:is>
          <ns0:t>YES</ns0:t>
        </ns0:is>
      </ns0:c>
      <ns0:c r="J164" t="str" s="1">
        <ns0:f>HYPERLINK("https://familytiesair.com","familytiesair.com")</ns0:f>
      </ns0:c>
      <ns0:c r="K164" t="inlineStr">
        <ns0:is>
          <ns0:t>Google</ns0:t>
        </ns0:is>
      </ns0:c>
    </ns0:row>
    <ns0:row r="165">
      <ns0:c r="A165" t="inlineStr">
        <ns0:is>
          <ns0:t>Moreno Valley</ns0:t>
        </ns0:is>
      </ns0:c>
      <ns0:c r="B165" t="inlineStr">
        <ns0:is>
          <ns0:t>CA</ns0:t>
        </ns0:is>
      </ns0:c>
      <ns0:c r="C165" t="inlineStr">
        <ns0:is>
          <ns0:t>McPherson Bros Plumbing</ns0:t>
        </ns0:is>
      </ns0:c>
      <ns0:c r="D165" t="inlineStr">
        <ns0:is>
          <ns0:t>(833) 627-2767</ns0:t>
        </ns0:is>
      </ns0:c>
      <ns0:c r="F165" t="inlineStr">
        <ns0:is>
          <ns0:t>Moreno Valley, CA</ns0:t>
        </ns0:is>
      </ns0:c>
      <ns0:c r="G165" t="inlineStr">
        <ns0:is>
          <ns0:t>4.5+/5</ns0:t>
        </ns0:is>
      </ns0:c>
      <ns0:c r="I165" t="inlineStr">
        <ns0:is>
          <ns0:t>YES</ns0:t>
        </ns0:is>
      </ns0:c>
      <ns0:c r="J165" t="str" s="1">
        <ns0:f>HYPERLINK("https://mcphersonbros.com","mcphersonbros.com")</ns0:f>
      </ns0:c>
      <ns0:c r="K165" t="inlineStr">
        <ns0:is>
          <ns0:t>Google</ns0:t>
        </ns0:is>
      </ns0:c>
    </ns0:row>
    <ns0:row r="166">
      <ns0:c r="A166" t="inlineStr">
        <ns0:is>
          <ns0:t>Brownsville</ns0:t>
        </ns0:is>
      </ns0:c>
      <ns0:c r="B166" t="inlineStr">
        <ns0:is>
          <ns0:t>TX</ns0:t>
        </ns0:is>
      </ns0:c>
      <ns0:c r="C166" t="inlineStr">
        <ns0:is>
          <ns0:t>Robert's Repair Plumbing</ns0:t>
        </ns0:is>
      </ns0:c>
      <ns0:c r="D166" t="inlineStr">
        <ns0:is>
          <ns0:t>(956) 203-9993</ns0:t>
        </ns0:is>
      </ns0:c>
      <ns0:c r="F166" t="inlineStr">
        <ns0:is>
          <ns0:t>Brownsville, TX</ns0:t>
        </ns0:is>
      </ns0:c>
      <ns0:c r="G166" t="inlineStr">
        <ns0:is>
          <ns0:t>4.5+/5</ns0:t>
        </ns0:is>
      </ns0:c>
      <ns0:c r="I166" t="inlineStr">
        <ns0:is>
          <ns0:t>YES</ns0:t>
        </ns0:is>
      </ns0:c>
      <ns0:c r="J166" t="str" s="1">
        <ns0:f>HYPERLINK("https://robertsrepair.com","robertsrepair.com")</ns0:f>
      </ns0:c>
      <ns0:c r="K166" t="inlineStr">
        <ns0:is>
          <ns0:t>Google</ns0:t>
        </ns0:is>
      </ns0:c>
    </ns0:row>
    <ns0:row r="167">
      <ns0:c r="A167" t="inlineStr">
        <ns0:is>
          <ns0:t>Fayetteville</ns0:t>
        </ns0:is>
      </ns0:c>
      <ns0:c r="B167" t="inlineStr">
        <ns0:is>
          <ns0:t>NC</ns0:t>
        </ns0:is>
      </ns0:c>
      <ns0:c r="C167" t="inlineStr">
        <ns0:is>
          <ns0:t>Woods Plumbing Service LLC</ns0:t>
        </ns0:is>
      </ns0:c>
      <ns0:c r="D167" t="inlineStr">
        <ns0:is>
          <ns0:t>(910) 920-3908</ns0:t>
        </ns0:is>
      </ns0:c>
      <ns0:c r="F167" t="inlineStr">
        <ns0:is>
          <ns0:t>Fayetteville, NC</ns0:t>
        </ns0:is>
      </ns0:c>
      <ns0:c r="G167" t="inlineStr">
        <ns0:is>
          <ns0:t>4.6+/5</ns0:t>
        </ns0:is>
      </ns0:c>
      <ns0:c r="I167" t="inlineStr">
        <ns0:is>
          <ns0:t>YES</ns0:t>
        </ns0:is>
      </ns0:c>
      <ns0:c r="J167" t="str" s="1">
        <ns0:f>HYPERLINK("https://woodsplumbing.com","woodsplumbing.com")</ns0:f>
      </ns0:c>
      <ns0:c r="K167" t="inlineStr">
        <ns0:is>
          <ns0:t>Google</ns0:t>
        </ns0:is>
      </ns0:c>
    </ns0:row>
    <ns0:row r="168">
      <ns0:c r="A168" t="inlineStr">
        <ns0:is>
          <ns0:t>Huntington Beach</ns0:t>
        </ns0:is>
      </ns0:c>
      <ns0:c r="B168" t="inlineStr">
        <ns0:is>
          <ns0:t>CA</ns0:t>
        </ns0:is>
      </ns0:c>
      <ns0:c r="C168" t="inlineStr">
        <ns0:is>
          <ns0:t>DeVinney Plumbing, Inc.</ns0:t>
        </ns0:is>
      </ns0:c>
      <ns0:c r="D168" t="inlineStr">
        <ns0:is>
          <ns0:t>(714) 375-0126</ns0:t>
        </ns0:is>
      </ns0:c>
      <ns0:c r="F168" t="inlineStr">
        <ns0:is>
          <ns0:t>Huntington Beach, CA</ns0:t>
        </ns0:is>
      </ns0:c>
      <ns0:c r="G168" t="inlineStr">
        <ns0:is>
          <ns0:t>4.7+/5</ns0:t>
        </ns0:is>
      </ns0:c>
      <ns0:c r="I168" t="inlineStr">
        <ns0:is>
          <ns0:t>YES</ns0:t>
        </ns0:is>
      </ns0:c>
      <ns0:c r="J168" t="str" s="1">
        <ns0:f>HYPERLINK("https://devinneyplumbing.com","devinneyplumbing.com")</ns0:f>
      </ns0:c>
      <ns0:c r="K168" t="inlineStr">
        <ns0:is>
          <ns0:t>Google</ns0:t>
        </ns0:is>
      </ns0:c>
    </ns0:row>
    <ns0:row r="169">
      <ns0:c r="A169" t="inlineStr">
        <ns0:is>
          <ns0:t>Grand Prairie</ns0:t>
        </ns0:is>
      </ns0:c>
      <ns0:c r="B169" t="inlineStr">
        <ns0:is>
          <ns0:t>TX</ns0:t>
        </ns0:is>
      </ns0:c>
      <ns0:c r="C169" t="inlineStr">
        <ns0:is>
          <ns0:t>Grand Prairie Plumbing</ns0:t>
        </ns0:is>
      </ns0:c>
      <ns0:c r="F169" t="inlineStr">
        <ns0:is>
          <ns0:t>Grand Prairie, TX</ns0:t>
        </ns0:is>
      </ns0:c>
      <ns0:c r="G169" t="inlineStr">
        <ns0:is>
          <ns0:t>4.6+/5</ns0:t>
        </ns0:is>
      </ns0:c>
      <ns0:c r="I169" t="inlineStr">
        <ns0:is>
          <ns0:t>YES</ns0:t>
        </ns0:is>
      </ns0:c>
      <ns0:c r="K169" t="inlineStr">
        <ns0:is>
          <ns0:t>Google</ns0:t>
        </ns0:is>
      </ns0:c>
    </ns0:row>
    <ns0:row r="170">
      <ns0:c r="A170" t="inlineStr">
        <ns0:is>
          <ns0:t>Newport News</ns0:t>
        </ns0:is>
      </ns0:c>
      <ns0:c r="B170" t="inlineStr">
        <ns0:is>
          <ns0:t>VA</ns0:t>
        </ns0:is>
      </ns0:c>
      <ns0:c r="C170" t="inlineStr">
        <ns0:is>
          <ns0:t>Blair's Plumbing Repair &amp; Drains</ns0:t>
        </ns0:is>
      </ns0:c>
      <ns0:c r="D170" t="inlineStr">
        <ns0:is>
          <ns0:t>(757) 719-1236</ns0:t>
        </ns0:is>
      </ns0:c>
      <ns0:c r="F170" t="inlineStr">
        <ns0:is>
          <ns0:t>Newport News, VA</ns0:t>
        </ns0:is>
      </ns0:c>
      <ns0:c r="G170" t="inlineStr">
        <ns0:is>
          <ns0:t>4.5+/5</ns0:t>
        </ns0:is>
      </ns0:c>
      <ns0:c r="I170" t="inlineStr">
        <ns0:is>
          <ns0:t>YES</ns0:t>
        </ns0:is>
      </ns0:c>
      <ns0:c r="J170" t="str" s="1">
        <ns0:f>HYPERLINK("https://blairsplumbingrepair.com","blairsplumbingrepair.com")</ns0:f>
      </ns0:c>
      <ns0:c r="K170" t="inlineStr">
        <ns0:is>
          <ns0:t>Google</ns0:t>
        </ns0:is>
      </ns0:c>
    </ns0:row>
    <ns0:row r="171">
      <ns0:c r="A171" t="inlineStr">
        <ns0:is>
          <ns0:t>Tallahassee</ns0:t>
        </ns0:is>
      </ns0:c>
      <ns0:c r="B171" t="inlineStr">
        <ns0:is>
          <ns0:t>FL</ns0:t>
        </ns0:is>
      </ns0:c>
      <ns0:c r="C171" t="inlineStr">
        <ns0:is>
          <ns0:t>White's Plumbing Inc</ns0:t>
        </ns0:is>
      </ns0:c>
      <ns0:c r="D171" t="inlineStr">
        <ns0:is>
          <ns0:t>(850) 576-3510</ns0:t>
        </ns0:is>
      </ns0:c>
      <ns0:c r="F171" t="inlineStr">
        <ns0:is>
          <ns0:t>Tallahassee, FL</ns0:t>
        </ns0:is>
      </ns0:c>
      <ns0:c r="G171" t="inlineStr">
        <ns0:is>
          <ns0:t>4.6+/5</ns0:t>
        </ns0:is>
      </ns0:c>
      <ns0:c r="I171" t="inlineStr">
        <ns0:is>
          <ns0:t>YES</ns0:t>
        </ns0:is>
      </ns0:c>
      <ns0:c r="J171" t="str" s="1">
        <ns0:f>HYPERLINK("https://whitesplumbing.com","whitesplumbing.com")</ns0:f>
      </ns0:c>
      <ns0:c r="K171" t="inlineStr">
        <ns0:is>
          <ns0:t>Google</ns0:t>
        </ns0:is>
      </ns0:c>
    </ns0:row>
    <ns0:row r="172">
      <ns0:c r="A172" t="inlineStr">
        <ns0:is>
          <ns0:t>Santa Clarita</ns0:t>
        </ns0:is>
      </ns0:c>
      <ns0:c r="B172" t="inlineStr">
        <ns0:is>
          <ns0:t>CA</ns0:t>
        </ns0:is>
      </ns0:c>
      <ns0:c r="C172" t="inlineStr">
        <ns0:is>
          <ns0:t>Matthew's Plumbing Inc</ns0:t>
        </ns0:is>
      </ns0:c>
      <ns0:c r="D172" t="inlineStr">
        <ns0:is>
          <ns0:t>(661) 299-6707</ns0:t>
        </ns0:is>
      </ns0:c>
      <ns0:c r="F172" t="inlineStr">
        <ns0:is>
          <ns0:t>Santa Clarita, CA</ns0:t>
        </ns0:is>
      </ns0:c>
      <ns0:c r="G172" t="inlineStr">
        <ns0:is>
          <ns0:t>4.7+/5</ns0:t>
        </ns0:is>
      </ns0:c>
      <ns0:c r="I172" t="inlineStr">
        <ns0:is>
          <ns0:t>YES</ns0:t>
        </ns0:is>
      </ns0:c>
      <ns0:c r="K172" t="inlineStr">
        <ns0:is>
          <ns0:t>Google</ns0:t>
        </ns0:is>
      </ns0:c>
    </ns0:row>
    <ns0:row r="173">
      <ns0:c r="A173" t="inlineStr">
        <ns0:is>
          <ns0:t>Durham</ns0:t>
        </ns0:is>
      </ns0:c>
      <ns0:c r="B173" t="inlineStr">
        <ns0:is>
          <ns0:t>NC</ns0:t>
        </ns0:is>
      </ns0:c>
      <ns0:c r="C173" t="inlineStr">
        <ns0:is>
          <ns0:t>Brown Brothers Plumbing &amp; Heating</ns0:t>
        </ns0:is>
      </ns0:c>
      <ns0:c r="D173" t="inlineStr">
        <ns0:is>
          <ns0:t>(919) 220-2554</ns0:t>
        </ns0:is>
      </ns0:c>
      <ns0:c r="F173" t="inlineStr">
        <ns0:is>
          <ns0:t>Durham, NC</ns0:t>
        </ns0:is>
      </ns0:c>
      <ns0:c r="G173" t="inlineStr">
        <ns0:is>
          <ns0:t>4.6+/5</ns0:t>
        </ns0:is>
      </ns0:c>
      <ns0:c r="I173" t="inlineStr">
        <ns0:is>
          <ns0:t>YES</ns0:t>
        </ns0:is>
      </ns0:c>
      <ns0:c r="J173" t="str" s="1">
        <ns0:f>HYPERLINK("https://brownbrothers.com","brownbrothers.com")</ns0:f>
      </ns0:c>
      <ns0:c r="K173" t="inlineStr">
        <ns0:is>
          <ns0:t>Google</ns0:t>
        </ns0:is>
      </ns0:c>
    </ns0:row>
    <ns0:row r="174">
      <ns0:c r="A174" t="inlineStr">
        <ns0:is>
          <ns0:t>Plano</ns0:t>
        </ns0:is>
      </ns0:c>
      <ns0:c r="B174" t="inlineStr">
        <ns0:is>
          <ns0:t>TX</ns0:t>
        </ns0:is>
      </ns0:c>
      <ns0:c r="C174" t="inlineStr">
        <ns0:is>
          <ns0:t>Plano Plumbing</ns0:t>
        </ns0:is>
      </ns0:c>
      <ns0:c r="F174" t="inlineStr">
        <ns0:is>
          <ns0:t>Plano, TX</ns0:t>
        </ns0:is>
      </ns0:c>
      <ns0:c r="G174" t="inlineStr">
        <ns0:is>
          <ns0:t>4.6+/5</ns0:t>
        </ns0:is>
      </ns0:c>
      <ns0:c r="I174" t="inlineStr">
        <ns0:is>
          <ns0:t>YES</ns0:t>
        </ns0:is>
      </ns0:c>
      <ns0:c r="K174" t="inlineStr">
        <ns0:is>
          <ns0:t>Google</ns0:t>
        </ns0:is>
      </ns0:c>
    </ns0:row>
    <ns0:row r="175">
      <ns0:c r="A175" t="inlineStr">
        <ns0:is>
          <ns0:t>Shreveport</ns0:t>
        </ns0:is>
      </ns0:c>
      <ns0:c r="B175" t="inlineStr">
        <ns0:is>
          <ns0:t>LA</ns0:t>
        </ns0:is>
      </ns0:c>
      <ns0:c r="C175" t="inlineStr">
        <ns0:is>
          <ns0:t>Bobby L. Greene Plumbing</ns0:t>
        </ns0:is>
      </ns0:c>
      <ns0:c r="D175" t="inlineStr">
        <ns0:is>
          <ns0:t>(318) 929-6574</ns0:t>
        </ns0:is>
      </ns0:c>
      <ns0:c r="F175" t="inlineStr">
        <ns0:is>
          <ns0:t>Shreveport, LA</ns0:t>
        </ns0:is>
      </ns0:c>
      <ns0:c r="G175" t="inlineStr">
        <ns0:is>
          <ns0:t>4.5+/5</ns0:t>
        </ns0:is>
      </ns0:c>
      <ns0:c r="I175" t="inlineStr">
        <ns0:is>
          <ns0:t>YES</ns0:t>
        </ns0:is>
      </ns0:c>
      <ns0:c r="K175" t="inlineStr">
        <ns0:is>
          <ns0:t>Google</ns0:t>
        </ns0:is>
      </ns0:c>
    </ns0:row>
    <ns0:row r="176">
      <ns0:c r="A176" t="inlineStr">
        <ns0:is>
          <ns0:t>Spokane</ns0:t>
        </ns0:is>
      </ns0:c>
      <ns0:c r="B176" t="inlineStr">
        <ns0:is>
          <ns0:t>WA</ns0:t>
        </ns0:is>
      </ns0:c>
      <ns0:c r="C176" t="inlineStr">
        <ns0:is>
          <ns0:t>Shaw Plumbing Heating &amp; Air Conditioning</ns0:t>
        </ns0:is>
      </ns0:c>
      <ns0:c r="D176" t="inlineStr">
        <ns0:is>
          <ns0:t>(509) 642-6166</ns0:t>
        </ns0:is>
      </ns0:c>
      <ns0:c r="F176" t="inlineStr">
        <ns0:is>
          <ns0:t>Spokane, WA</ns0:t>
        </ns0:is>
      </ns0:c>
      <ns0:c r="G176" t="inlineStr">
        <ns0:is>
          <ns0:t>4.6+/5</ns0:t>
        </ns0:is>
      </ns0:c>
      <ns0:c r="I176" t="inlineStr">
        <ns0:is>
          <ns0:t>YES</ns0:t>
        </ns0:is>
      </ns0:c>
      <ns0:c r="J176" t="str" s="1">
        <ns0:f>HYPERLINK("https://shawplumbing.com","shawplumbing.com")</ns0:f>
      </ns0:c>
      <ns0:c r="K176" t="inlineStr">
        <ns0:is>
          <ns0:t>Google</ns0:t>
        </ns0:is>
      </ns0:c>
    </ns0:row>
    <ns0:row r="177">
      <ns0:c r="A177" t="inlineStr">
        <ns0:is>
          <ns0:t>Garland</ns0:t>
        </ns0:is>
      </ns0:c>
      <ns0:c r="B177" t="inlineStr">
        <ns0:is>
          <ns0:t>TX</ns0:t>
        </ns0:is>
      </ns0:c>
      <ns0:c r="C177" t="inlineStr">
        <ns0:is>
          <ns0:t>Family Ties Plumbing &amp; Construction</ns0:t>
        </ns0:is>
      </ns0:c>
      <ns0:c r="D177" t="inlineStr">
        <ns0:is>
          <ns0:t>(972) 824-8833</ns0:t>
        </ns0:is>
      </ns0:c>
      <ns0:c r="F177" t="inlineStr">
        <ns0:is>
          <ns0:t>Garland, TX</ns0:t>
        </ns0:is>
      </ns0:c>
      <ns0:c r="G177" t="inlineStr">
        <ns0:is>
          <ns0:t>4.6+/5</ns0:t>
        </ns0:is>
      </ns0:c>
      <ns0:c r="I177" t="inlineStr">
        <ns0:is>
          <ns0:t>YES</ns0:t>
        </ns0:is>
      </ns0:c>
      <ns0:c r="K177" t="inlineStr">
        <ns0:is>
          <ns0:t>Google</ns0:t>
        </ns0:is>
      </ns0:c>
    </ns0:row>
    <ns0:row r="178">
      <ns0:c r="A178" t="inlineStr">
        <ns0:is>
          <ns0:t>Glendale</ns0:t>
        </ns0:is>
      </ns0:c>
      <ns0:c r="B178" t="inlineStr">
        <ns0:is>
          <ns0:t>AZ</ns0:t>
        </ns0:is>
      </ns0:c>
      <ns0:c r="C178" t="inlineStr">
        <ns0:is>
          <ns0:t>Glendale Plumbing</ns0:t>
        </ns0:is>
      </ns0:c>
      <ns0:c r="F178" t="inlineStr">
        <ns0:is>
          <ns0:t>Glendale, AZ</ns0:t>
        </ns0:is>
      </ns0:c>
      <ns0:c r="G178" t="inlineStr">
        <ns0:is>
          <ns0:t>4.7+/5</ns0:t>
        </ns0:is>
      </ns0:c>
      <ns0:c r="I178" t="inlineStr">
        <ns0:is>
          <ns0:t>YES</ns0:t>
        </ns0:is>
      </ns0:c>
      <ns0:c r="K178" t="inlineStr">
        <ns0:is>
          <ns0:t>Google</ns0:t>
        </ns0:is>
      </ns0:c>
    </ns0:row>
    <ns0:row r="179">
      <ns0:c r="A179" t="inlineStr">
        <ns0:is>
          <ns0:t>Gilbert</ns0:t>
        </ns0:is>
      </ns0:c>
      <ns0:c r="B179" t="inlineStr">
        <ns0:is>
          <ns0:t>AZ</ns0:t>
        </ns0:is>
      </ns0:c>
      <ns0:c r="C179" t="inlineStr">
        <ns0:is>
          <ns0:t>Travis &amp; Sons Plumbing &amp; Rooter</ns0:t>
        </ns0:is>
      </ns0:c>
      <ns0:c r="D179" t="inlineStr">
        <ns0:is>
          <ns0:t>(480) 568-2309</ns0:t>
        </ns0:is>
      </ns0:c>
      <ns0:c r="F179" t="inlineStr">
        <ns0:is>
          <ns0:t>Gilbert, AZ</ns0:t>
        </ns0:is>
      </ns0:c>
      <ns0:c r="G179" t="inlineStr">
        <ns0:is>
          <ns0:t>4.7+/5</ns0:t>
        </ns0:is>
      </ns0:c>
      <ns0:c r="I179" t="inlineStr">
        <ns0:is>
          <ns0:t>YES</ns0:t>
        </ns0:is>
      </ns0:c>
      <ns0:c r="J179" t="str" s="1">
        <ns0:f>HYPERLINK("https://travisandsonsplumbing.com","travisandsonsplumbing.com")</ns0:f>
      </ns0:c>
      <ns0:c r="K179" t="inlineStr">
        <ns0:is>
          <ns0:t>Google</ns0:t>
        </ns0:is>
      </ns0:c>
    </ns0:row>
    <ns0:row r="180">
      <ns0:c r="A180" t="inlineStr">
        <ns0:is>
          <ns0:t>Winston-Salem</ns0:t>
        </ns0:is>
      </ns0:c>
      <ns0:c r="B180" t="inlineStr">
        <ns0:is>
          <ns0:t>NC</ns0:t>
        </ns0:is>
      </ns0:c>
      <ns0:c r="C180" t="inlineStr">
        <ns0:is>
          <ns0:t>Transou's Plumbing &amp; Septic</ns0:t>
        </ns0:is>
      </ns0:c>
      <ns0:c r="D180" t="inlineStr">
        <ns0:is>
          <ns0:t>(336) 276-1263</ns0:t>
        </ns0:is>
      </ns0:c>
      <ns0:c r="F180" t="inlineStr">
        <ns0:is>
          <ns0:t>Winston-Salem, NC</ns0:t>
        </ns0:is>
      </ns0:c>
      <ns0:c r="G180" t="inlineStr">
        <ns0:is>
          <ns0:t>4.6+/5</ns0:t>
        </ns0:is>
      </ns0:c>
      <ns0:c r="I180" t="inlineStr">
        <ns0:is>
          <ns0:t>YES</ns0:t>
        </ns0:is>
      </ns0:c>
      <ns0:c r="K180" t="inlineStr">
        <ns0:is>
          <ns0:t>Google</ns0:t>
        </ns0:is>
      </ns0:c>
    </ns0:row>
    <ns0:row r="181">
      <ns0:c r="A181" t="inlineStr">
        <ns0:is>
          <ns0:t>Hialeah</ns0:t>
        </ns0:is>
      </ns0:c>
      <ns0:c r="B181" t="inlineStr">
        <ns0:is>
          <ns0:t>FL</ns0:t>
        </ns0:is>
      </ns0:c>
      <ns0:c r="C181" t="inlineStr">
        <ns0:is>
          <ns0:t>Hernandez Plumbing Co.</ns0:t>
        </ns0:is>
      </ns0:c>
      <ns0:c r="D181" t="inlineStr">
        <ns0:is>
          <ns0:t>(305) 428-3782</ns0:t>
        </ns0:is>
      </ns0:c>
      <ns0:c r="F181" t="inlineStr">
        <ns0:is>
          <ns0:t>Hialeah, FL</ns0:t>
        </ns0:is>
      </ns0:c>
      <ns0:c r="G181" t="inlineStr">
        <ns0:is>
          <ns0:t>4.6+/5</ns0:t>
        </ns0:is>
      </ns0:c>
      <ns0:c r="I181" t="inlineStr">
        <ns0:is>
          <ns0:t>YES</ns0:t>
        </ns0:is>
      </ns0:c>
      <ns0:c r="J181" t="str" s="1">
        <ns0:f>HYPERLINK("https://hernandezplumbing.com","hernandezplumbing.com")</ns0:f>
      </ns0:c>
      <ns0:c r="K181" t="inlineStr">
        <ns0:is>
          <ns0:t>Google</ns0:t>
        </ns0:is>
      </ns0:c>
    </ns0:row>
    <ns0:row r="182">
      <ns0:c r="A182" t="inlineStr">
        <ns0:is>
          <ns0:t>Modesto</ns0:t>
        </ns0:is>
      </ns0:c>
      <ns0:c r="B182" t="inlineStr">
        <ns0:is>
          <ns0:t>CA</ns0:t>
        </ns0:is>
      </ns0:c>
      <ns0:c r="C182" t="inlineStr">
        <ns0:is>
          <ns0:t>Herk's Plumbing</ns0:t>
        </ns0:is>
      </ns0:c>
      <ns0:c r="D182" t="inlineStr">
        <ns0:is>
          <ns0:t>(209) 496-1388</ns0:t>
        </ns0:is>
      </ns0:c>
      <ns0:c r="F182" t="inlineStr">
        <ns0:is>
          <ns0:t>Modesto, CA</ns0:t>
        </ns0:is>
      </ns0:c>
      <ns0:c r="G182" t="inlineStr">
        <ns0:is>
          <ns0:t>4.6+/5</ns0:t>
        </ns0:is>
      </ns0:c>
      <ns0:c r="I182" t="inlineStr">
        <ns0:is>
          <ns0:t>YES</ns0:t>
        </ns0:is>
      </ns0:c>
      <ns0:c r="J182" t="str" s="1">
        <ns0:f>HYPERLINK("https://herksplumbing.com","herksplumbing.com")</ns0:f>
      </ns0:c>
      <ns0:c r="K182" t="inlineStr">
        <ns0:is>
          <ns0:t>Google</ns0:t>
        </ns0:is>
      </ns0:c>
    </ns0:row>
    <ns0:row r="183">
      <ns0:c r="A183" t="inlineStr">
        <ns0:is>
          <ns0:t>Fontana</ns0:t>
        </ns0:is>
      </ns0:c>
      <ns0:c r="B183" t="inlineStr">
        <ns0:is>
          <ns0:t>CA</ns0:t>
        </ns0:is>
      </ns0:c>
      <ns0:c r="C183" t="inlineStr">
        <ns0:is>
          <ns0:t>Family Ties Air, Plumbing, &amp; Drain</ns0:t>
        </ns0:is>
      </ns0:c>
      <ns0:c r="D183" t="inlineStr">
        <ns0:is>
          <ns0:t>(909) 332-2558</ns0:t>
        </ns0:is>
      </ns0:c>
      <ns0:c r="F183" t="inlineStr">
        <ns0:is>
          <ns0:t>Fontana, CA</ns0:t>
        </ns0:is>
      </ns0:c>
      <ns0:c r="G183" t="inlineStr">
        <ns0:is>
          <ns0:t>4.6+/5</ns0:t>
        </ns0:is>
      </ns0:c>
      <ns0:c r="I183" t="inlineStr">
        <ns0:is>
          <ns0:t>YES</ns0:t>
        </ns0:is>
      </ns0:c>
      <ns0:c r="J183" t="str" s="1">
        <ns0:f>HYPERLINK("https://familytiesair.com","familytiesair.com")</ns0:f>
      </ns0:c>
      <ns0:c r="K183" t="inlineStr">
        <ns0:is>
          <ns0:t>Google</ns0:t>
        </ns0:is>
      </ns0:c>
    </ns0:row>
    <ns0:row r="184">
      <ns0:c r="A184" t="inlineStr">
        <ns0:is>
          <ns0:t>Moreno Valley</ns0:t>
        </ns0:is>
      </ns0:c>
      <ns0:c r="B184" t="inlineStr">
        <ns0:is>
          <ns0:t>CA</ns0:t>
        </ns0:is>
      </ns0:c>
      <ns0:c r="C184" t="inlineStr">
        <ns0:is>
          <ns0:t>McPherson Bros Plumbing</ns0:t>
        </ns0:is>
      </ns0:c>
      <ns0:c r="D184" t="inlineStr">
        <ns0:is>
          <ns0:t>(833) 627-2767</ns0:t>
        </ns0:is>
      </ns0:c>
      <ns0:c r="F184" t="inlineStr">
        <ns0:is>
          <ns0:t>Moreno Valley, CA</ns0:t>
        </ns0:is>
      </ns0:c>
      <ns0:c r="G184" t="inlineStr">
        <ns0:is>
          <ns0:t>4.5+/5</ns0:t>
        </ns0:is>
      </ns0:c>
      <ns0:c r="I184" t="inlineStr">
        <ns0:is>
          <ns0:t>YES</ns0:t>
        </ns0:is>
      </ns0:c>
      <ns0:c r="J184" t="str" s="1">
        <ns0:f>HYPERLINK("https://mcphersonbros.com","mcphersonbros.com")</ns0:f>
      </ns0:c>
      <ns0:c r="K184" t="inlineStr">
        <ns0:is>
          <ns0:t>Google</ns0:t>
        </ns0:is>
      </ns0:c>
    </ns0:row>
    <ns0:row r="185">
      <ns0:c r="A185" t="inlineStr">
        <ns0:is>
          <ns0:t>Brownsville</ns0:t>
        </ns0:is>
      </ns0:c>
      <ns0:c r="B185" t="inlineStr">
        <ns0:is>
          <ns0:t>TX</ns0:t>
        </ns0:is>
      </ns0:c>
      <ns0:c r="C185" t="inlineStr">
        <ns0:is>
          <ns0:t>Robert's Repair Plumbing</ns0:t>
        </ns0:is>
      </ns0:c>
      <ns0:c r="D185" t="inlineStr">
        <ns0:is>
          <ns0:t>(956) 203-9993</ns0:t>
        </ns0:is>
      </ns0:c>
      <ns0:c r="F185" t="inlineStr">
        <ns0:is>
          <ns0:t>Brownsville, TX</ns0:t>
        </ns0:is>
      </ns0:c>
      <ns0:c r="G185" t="inlineStr">
        <ns0:is>
          <ns0:t>4.5+/5</ns0:t>
        </ns0:is>
      </ns0:c>
      <ns0:c r="I185" t="inlineStr">
        <ns0:is>
          <ns0:t>YES</ns0:t>
        </ns0:is>
      </ns0:c>
      <ns0:c r="J185" t="str" s="1">
        <ns0:f>HYPERLINK("https://robertsrepair.com","robertsrepair.com")</ns0:f>
      </ns0:c>
      <ns0:c r="K185" t="inlineStr">
        <ns0:is>
          <ns0:t>Google</ns0:t>
        </ns0:is>
      </ns0:c>
    </ns0:row>
    <ns0:row r="186">
      <ns0:c r="A186" t="inlineStr">
        <ns0:is>
          <ns0:t>Fayetteville</ns0:t>
        </ns0:is>
      </ns0:c>
      <ns0:c r="B186" t="inlineStr">
        <ns0:is>
          <ns0:t>NC</ns0:t>
        </ns0:is>
      </ns0:c>
      <ns0:c r="C186" t="inlineStr">
        <ns0:is>
          <ns0:t>Woods Plumbing Service LLC</ns0:t>
        </ns0:is>
      </ns0:c>
      <ns0:c r="D186" t="inlineStr">
        <ns0:is>
          <ns0:t>(910) 920-3908</ns0:t>
        </ns0:is>
      </ns0:c>
      <ns0:c r="F186" t="inlineStr">
        <ns0:is>
          <ns0:t>Fayetteville, NC</ns0:t>
        </ns0:is>
      </ns0:c>
      <ns0:c r="G186" t="inlineStr">
        <ns0:is>
          <ns0:t>4.6+/5</ns0:t>
        </ns0:is>
      </ns0:c>
      <ns0:c r="I186" t="inlineStr">
        <ns0:is>
          <ns0:t>YES</ns0:t>
        </ns0:is>
      </ns0:c>
      <ns0:c r="J186" t="str" s="1">
        <ns0:f>HYPERLINK("https://woodsplumbing.com","woodsplumbing.com")</ns0:f>
      </ns0:c>
      <ns0:c r="K186" t="inlineStr">
        <ns0:is>
          <ns0:t>Google</ns0:t>
        </ns0:is>
      </ns0:c>
    </ns0:row>
    <ns0:row r="187">
      <ns0:c r="A187" t="inlineStr">
        <ns0:is>
          <ns0:t>Huntington Beach</ns0:t>
        </ns0:is>
      </ns0:c>
      <ns0:c r="B187" t="inlineStr">
        <ns0:is>
          <ns0:t>CA</ns0:t>
        </ns0:is>
      </ns0:c>
      <ns0:c r="C187" t="inlineStr">
        <ns0:is>
          <ns0:t>DeVinney Plumbing, Inc.</ns0:t>
        </ns0:is>
      </ns0:c>
      <ns0:c r="D187" t="inlineStr">
        <ns0:is>
          <ns0:t>(714) 375-0126</ns0:t>
        </ns0:is>
      </ns0:c>
      <ns0:c r="F187" t="inlineStr">
        <ns0:is>
          <ns0:t>Huntington Beach, CA</ns0:t>
        </ns0:is>
      </ns0:c>
      <ns0:c r="G187" t="inlineStr">
        <ns0:is>
          <ns0:t>4.7+/5</ns0:t>
        </ns0:is>
      </ns0:c>
      <ns0:c r="I187" t="inlineStr">
        <ns0:is>
          <ns0:t>YES</ns0:t>
        </ns0:is>
      </ns0:c>
      <ns0:c r="J187" t="str" s="1">
        <ns0:f>HYPERLINK("https://devinneyplumbing.com","devinneyplumbing.com")</ns0:f>
      </ns0:c>
      <ns0:c r="K187" t="inlineStr">
        <ns0:is>
          <ns0:t>Google</ns0:t>
        </ns0:is>
      </ns0:c>
    </ns0:row>
    <ns0:row r="188">
      <ns0:c r="A188" t="inlineStr">
        <ns0:is>
          <ns0:t>Grand Prairie</ns0:t>
        </ns0:is>
      </ns0:c>
      <ns0:c r="B188" t="inlineStr">
        <ns0:is>
          <ns0:t>TX</ns0:t>
        </ns0:is>
      </ns0:c>
      <ns0:c r="C188" t="inlineStr">
        <ns0:is>
          <ns0:t>Grand Prairie Plumbing</ns0:t>
        </ns0:is>
      </ns0:c>
      <ns0:c r="F188" t="inlineStr">
        <ns0:is>
          <ns0:t>Grand Prairie, TX</ns0:t>
        </ns0:is>
      </ns0:c>
      <ns0:c r="G188" t="inlineStr">
        <ns0:is>
          <ns0:t>4.6+/5</ns0:t>
        </ns0:is>
      </ns0:c>
      <ns0:c r="I188" t="inlineStr">
        <ns0:is>
          <ns0:t>YES</ns0:t>
        </ns0:is>
      </ns0:c>
      <ns0:c r="K188" t="inlineStr">
        <ns0:is>
          <ns0:t>Google</ns0:t>
        </ns0:is>
      </ns0:c>
    </ns0:row>
    <ns0:row r="189">
      <ns0:c r="A189" t="inlineStr">
        <ns0:is>
          <ns0:t>Newport News</ns0:t>
        </ns0:is>
      </ns0:c>
      <ns0:c r="B189" t="inlineStr">
        <ns0:is>
          <ns0:t>VA</ns0:t>
        </ns0:is>
      </ns0:c>
      <ns0:c r="C189" t="inlineStr">
        <ns0:is>
          <ns0:t>Blair's Plumbing Repair &amp; Drains</ns0:t>
        </ns0:is>
      </ns0:c>
      <ns0:c r="D189" t="inlineStr">
        <ns0:is>
          <ns0:t>(757) 719-1236</ns0:t>
        </ns0:is>
      </ns0:c>
      <ns0:c r="F189" t="inlineStr">
        <ns0:is>
          <ns0:t>Newport News, VA</ns0:t>
        </ns0:is>
      </ns0:c>
      <ns0:c r="G189" t="inlineStr">
        <ns0:is>
          <ns0:t>4.5+/5</ns0:t>
        </ns0:is>
      </ns0:c>
      <ns0:c r="I189" t="inlineStr">
        <ns0:is>
          <ns0:t>YES</ns0:t>
        </ns0:is>
      </ns0:c>
      <ns0:c r="J189" t="str" s="1">
        <ns0:f>HYPERLINK("https://blairsplumbingrepair.com","blairsplumbingrepair.com")</ns0:f>
      </ns0:c>
      <ns0:c r="K189" t="inlineStr">
        <ns0:is>
          <ns0:t>Google</ns0:t>
        </ns0:is>
      </ns0:c>
    </ns0:row>
    <ns0:row r="190">
      <ns0:c r="A190" t="inlineStr">
        <ns0:is>
          <ns0:t>Tallahassee</ns0:t>
        </ns0:is>
      </ns0:c>
      <ns0:c r="B190" t="inlineStr">
        <ns0:is>
          <ns0:t>FL</ns0:t>
        </ns0:is>
      </ns0:c>
      <ns0:c r="C190" t="inlineStr">
        <ns0:is>
          <ns0:t>White's Plumbing Inc</ns0:t>
        </ns0:is>
      </ns0:c>
      <ns0:c r="D190" t="inlineStr">
        <ns0:is>
          <ns0:t>(850) 576-3510</ns0:t>
        </ns0:is>
      </ns0:c>
      <ns0:c r="F190" t="inlineStr">
        <ns0:is>
          <ns0:t>Tallahassee, FL</ns0:t>
        </ns0:is>
      </ns0:c>
      <ns0:c r="G190" t="inlineStr">
        <ns0:is>
          <ns0:t>4.6+/5</ns0:t>
        </ns0:is>
      </ns0:c>
      <ns0:c r="I190" t="inlineStr">
        <ns0:is>
          <ns0:t>YES</ns0:t>
        </ns0:is>
      </ns0:c>
      <ns0:c r="J190" t="str" s="1">
        <ns0:f>HYPERLINK("https://whitesplumbing.com","whitesplumbing.com")</ns0:f>
      </ns0:c>
      <ns0:c r="K190" t="inlineStr">
        <ns0:is>
          <ns0:t>Google</ns0:t>
        </ns0:is>
      </ns0:c>
    </ns0:row>
    <ns0:row r="191">
      <ns0:c r="A191" t="inlineStr">
        <ns0:is>
          <ns0:t>Santa Clarita</ns0:t>
        </ns0:is>
      </ns0:c>
      <ns0:c r="B191" t="inlineStr">
        <ns0:is>
          <ns0:t>CA</ns0:t>
        </ns0:is>
      </ns0:c>
      <ns0:c r="C191" t="inlineStr">
        <ns0:is>
          <ns0:t>Matthew's Plumbing Inc</ns0:t>
        </ns0:is>
      </ns0:c>
      <ns0:c r="D191" t="inlineStr">
        <ns0:is>
          <ns0:t>(661) 299-6707</ns0:t>
        </ns0:is>
      </ns0:c>
      <ns0:c r="F191" t="inlineStr">
        <ns0:is>
          <ns0:t>Santa Clarita, CA</ns0:t>
        </ns0:is>
      </ns0:c>
      <ns0:c r="G191" t="inlineStr">
        <ns0:is>
          <ns0:t>4.7+/5</ns0:t>
        </ns0:is>
      </ns0:c>
      <ns0:c r="I191" t="inlineStr">
        <ns0:is>
          <ns0:t>YES</ns0:t>
        </ns0:is>
      </ns0:c>
      <ns0:c r="K191" t="inlineStr">
        <ns0:is>
          <ns0:t>Google</ns0:t>
        </ns0:is>
      </ns0:c>
    </ns0:row>
    <ns0:row r="192">
      <ns0:c r="A192" t="inlineStr">
        <ns0:is>
          <ns0:t>Durham</ns0:t>
        </ns0:is>
      </ns0:c>
      <ns0:c r="B192" t="inlineStr">
        <ns0:is>
          <ns0:t>NC</ns0:t>
        </ns0:is>
      </ns0:c>
      <ns0:c r="C192" t="inlineStr">
        <ns0:is>
          <ns0:t>Brown Brothers Plumbing &amp; Heating</ns0:t>
        </ns0:is>
      </ns0:c>
      <ns0:c r="D192" t="inlineStr">
        <ns0:is>
          <ns0:t>(919) 220-2554</ns0:t>
        </ns0:is>
      </ns0:c>
      <ns0:c r="F192" t="inlineStr">
        <ns0:is>
          <ns0:t>Durham, NC</ns0:t>
        </ns0:is>
      </ns0:c>
      <ns0:c r="G192" t="inlineStr">
        <ns0:is>
          <ns0:t>4.6+/5</ns0:t>
        </ns0:is>
      </ns0:c>
      <ns0:c r="I192" t="inlineStr">
        <ns0:is>
          <ns0:t>YES</ns0:t>
        </ns0:is>
      </ns0:c>
      <ns0:c r="J192" t="str" s="1">
        <ns0:f>HYPERLINK("https://brownbrothers.com","brownbrothers.com")</ns0:f>
      </ns0:c>
      <ns0:c r="K192" t="inlineStr">
        <ns0:is>
          <ns0:t>Google</ns0:t>
        </ns0:is>
      </ns0:c>
    </ns0:row>
    <ns0:row r="193">
      <ns0:c r="A193" t="inlineStr">
        <ns0:is>
          <ns0:t>Plano</ns0:t>
        </ns0:is>
      </ns0:c>
      <ns0:c r="B193" t="inlineStr">
        <ns0:is>
          <ns0:t>TX</ns0:t>
        </ns0:is>
      </ns0:c>
      <ns0:c r="C193" t="inlineStr">
        <ns0:is>
          <ns0:t>Plano Plumbing</ns0:t>
        </ns0:is>
      </ns0:c>
      <ns0:c r="F193" t="inlineStr">
        <ns0:is>
          <ns0:t>Plano, TX</ns0:t>
        </ns0:is>
      </ns0:c>
      <ns0:c r="G193" t="inlineStr">
        <ns0:is>
          <ns0:t>4.6+/5</ns0:t>
        </ns0:is>
      </ns0:c>
      <ns0:c r="I193" t="inlineStr">
        <ns0:is>
          <ns0:t>YES</ns0:t>
        </ns0:is>
      </ns0:c>
      <ns0:c r="K193" t="inlineStr">
        <ns0:is>
          <ns0:t>Google</ns0:t>
        </ns0:is>
      </ns0:c>
    </ns0:row>
    <ns0:row r="194">
      <ns0:c r="A194" t="inlineStr">
        <ns0:is>
          <ns0:t>Shreveport</ns0:t>
        </ns0:is>
      </ns0:c>
      <ns0:c r="B194" t="inlineStr">
        <ns0:is>
          <ns0:t>LA</ns0:t>
        </ns0:is>
      </ns0:c>
      <ns0:c r="C194" t="inlineStr">
        <ns0:is>
          <ns0:t>Bobby L. Greene Plumbing</ns0:t>
        </ns0:is>
      </ns0:c>
      <ns0:c r="D194" t="inlineStr">
        <ns0:is>
          <ns0:t>(318) 929-6574</ns0:t>
        </ns0:is>
      </ns0:c>
      <ns0:c r="F194" t="inlineStr">
        <ns0:is>
          <ns0:t>Shreveport, LA</ns0:t>
        </ns0:is>
      </ns0:c>
      <ns0:c r="G194" t="inlineStr">
        <ns0:is>
          <ns0:t>4.5+/5</ns0:t>
        </ns0:is>
      </ns0:c>
      <ns0:c r="I194" t="inlineStr">
        <ns0:is>
          <ns0:t>YES</ns0:t>
        </ns0:is>
      </ns0:c>
      <ns0:c r="K194" t="inlineStr">
        <ns0:is>
          <ns0:t>Google</ns0:t>
        </ns0:is>
      </ns0:c>
    </ns0:row>
    <ns0:row r="195">
      <ns0:c r="A195" t="inlineStr">
        <ns0:is>
          <ns0:t>Spokane</ns0:t>
        </ns0:is>
      </ns0:c>
      <ns0:c r="B195" t="inlineStr">
        <ns0:is>
          <ns0:t>WA</ns0:t>
        </ns0:is>
      </ns0:c>
      <ns0:c r="C195" t="inlineStr">
        <ns0:is>
          <ns0:t>Shaw Plumbing Heating &amp; Air Conditioning</ns0:t>
        </ns0:is>
      </ns0:c>
      <ns0:c r="D195" t="inlineStr">
        <ns0:is>
          <ns0:t>(509) 642-6166</ns0:t>
        </ns0:is>
      </ns0:c>
      <ns0:c r="F195" t="inlineStr">
        <ns0:is>
          <ns0:t>Spokane, WA</ns0:t>
        </ns0:is>
      </ns0:c>
      <ns0:c r="G195" t="inlineStr">
        <ns0:is>
          <ns0:t>4.6+/5</ns0:t>
        </ns0:is>
      </ns0:c>
      <ns0:c r="I195" t="inlineStr">
        <ns0:is>
          <ns0:t>YES</ns0:t>
        </ns0:is>
      </ns0:c>
      <ns0:c r="J195" t="str" s="1">
        <ns0:f>HYPERLINK("https://shawplumbing.com","shawplumbing.com")</ns0:f>
      </ns0:c>
      <ns0:c r="K195" t="inlineStr">
        <ns0:is>
          <ns0:t>Google</ns0:t>
        </ns0:is>
      </ns0:c>
    </ns0:row>
    <ns0:row r="196">
      <ns0:c r="A196" t="inlineStr">
        <ns0:is>
          <ns0:t>Des Moines</ns0:t>
        </ns0:is>
      </ns0:c>
      <ns0:c r="B196" t="inlineStr">
        <ns0:is>
          <ns0:t>IA</ns0:t>
        </ns0:is>
      </ns0:c>
      <ns0:c r="C196" t="inlineStr">
        <ns0:is>
          <ns0:t>Schaal Plumbing, Heating and Cooling</ns0:t>
        </ns0:is>
      </ns0:c>
      <ns0:c r="D196" t="inlineStr">
        <ns0:is>
          <ns0:t>(515) 207-2272</ns0:t>
        </ns0:is>
      </ns0:c>
      <ns0:c r="F196" t="inlineStr">
        <ns0:is>
          <ns0:t>Des Moines, IA</ns0:t>
        </ns0:is>
      </ns0:c>
      <ns0:c r="G196" t="inlineStr">
        <ns0:is>
          <ns0:t>4.6+/5</ns0:t>
        </ns0:is>
      </ns0:c>
      <ns0:c r="I196" t="inlineStr">
        <ns0:is>
          <ns0:t>YES</ns0:t>
        </ns0:is>
      </ns0:c>
      <ns0:c r="K196" t="inlineStr">
        <ns0:is>
          <ns0:t>Google</ns0:t>
        </ns0:is>
      </ns0:c>
    </ns0:row>
    <ns0:row r="197">
      <ns0:c r="A197" t="inlineStr">
        <ns0:is>
          <ns0:t>Memphis</ns0:t>
        </ns0:is>
      </ns0:c>
      <ns0:c r="B197" t="inlineStr">
        <ns0:is>
          <ns0:t>TN</ns0:t>
        </ns0:is>
      </ns0:c>
      <ns0:c r="C197" t="inlineStr">
        <ns0:is>
          <ns0:t>Memphis Plumbing</ns0:t>
        </ns0:is>
      </ns0:c>
      <ns0:c r="F197" t="inlineStr">
        <ns0:is>
          <ns0:t>Memphis, TN</ns0:t>
        </ns0:is>
      </ns0:c>
      <ns0:c r="G197" t="inlineStr">
        <ns0:is>
          <ns0:t>4.6+/5</ns0:t>
        </ns0:is>
      </ns0:c>
      <ns0:c r="I197" t="inlineStr">
        <ns0:is>
          <ns0:t>YES</ns0:t>
        </ns0:is>
      </ns0:c>
      <ns0:c r="K197" t="inlineStr">
        <ns0:is>
          <ns0:t>Google</ns0:t>
        </ns0:is>
      </ns0:c>
    </ns0:row>
    <ns0:row r="198">
      <ns0:c r="A198" t="inlineStr">
        <ns0:is>
          <ns0:t>Garland</ns0:t>
        </ns0:is>
      </ns0:c>
      <ns0:c r="B198" t="inlineStr">
        <ns0:is>
          <ns0:t>TX</ns0:t>
        </ns0:is>
      </ns0:c>
      <ns0:c r="C198" t="inlineStr">
        <ns0:is>
          <ns0:t>Family Ties Plumbing &amp; Construction</ns0:t>
        </ns0:is>
      </ns0:c>
      <ns0:c r="D198" t="inlineStr">
        <ns0:is>
          <ns0:t>(972) 824-8833</ns0:t>
        </ns0:is>
      </ns0:c>
      <ns0:c r="F198" t="inlineStr">
        <ns0:is>
          <ns0:t>Garland, TX</ns0:t>
        </ns0:is>
      </ns0:c>
      <ns0:c r="G198" t="inlineStr">
        <ns0:is>
          <ns0:t>4.6+/5</ns0:t>
        </ns0:is>
      </ns0:c>
      <ns0:c r="I198" t="inlineStr">
        <ns0:is>
          <ns0:t>YES</ns0:t>
        </ns0:is>
      </ns0:c>
      <ns0:c r="K198" t="inlineStr">
        <ns0:is>
          <ns0:t>Google</ns0:t>
        </ns0:is>
      </ns0:c>
    </ns0:row>
    <ns0:row r="199">
      <ns0:c r="A199" t="inlineStr">
        <ns0:is>
          <ns0:t>Glendale</ns0:t>
        </ns0:is>
      </ns0:c>
      <ns0:c r="B199" t="inlineStr">
        <ns0:is>
          <ns0:t>AZ</ns0:t>
        </ns0:is>
      </ns0:c>
      <ns0:c r="C199" t="inlineStr">
        <ns0:is>
          <ns0:t>Glendale Plumbing</ns0:t>
        </ns0:is>
      </ns0:c>
      <ns0:c r="F199" t="inlineStr">
        <ns0:is>
          <ns0:t>Glendale, AZ</ns0:t>
        </ns0:is>
      </ns0:c>
      <ns0:c r="G199" t="inlineStr">
        <ns0:is>
          <ns0:t>4.7+/5</ns0:t>
        </ns0:is>
      </ns0:c>
      <ns0:c r="I199" t="inlineStr">
        <ns0:is>
          <ns0:t>YES</ns0:t>
        </ns0:is>
      </ns0:c>
      <ns0:c r="K199" t="inlineStr">
        <ns0:is>
          <ns0:t>Google</ns0:t>
        </ns0:is>
      </ns0:c>
    </ns0:row>
    <ns0:row r="200">
      <ns0:c r="A200" t="inlineStr">
        <ns0:is>
          <ns0:t>Gilbert</ns0:t>
        </ns0:is>
      </ns0:c>
      <ns0:c r="B200" t="inlineStr">
        <ns0:is>
          <ns0:t>AZ</ns0:t>
        </ns0:is>
      </ns0:c>
      <ns0:c r="C200" t="inlineStr">
        <ns0:is>
          <ns0:t>Travis &amp; Sons Plumbing &amp; Rooter</ns0:t>
        </ns0:is>
      </ns0:c>
      <ns0:c r="D200" t="inlineStr">
        <ns0:is>
          <ns0:t>(480) 568-2309</ns0:t>
        </ns0:is>
      </ns0:c>
      <ns0:c r="F200" t="inlineStr">
        <ns0:is>
          <ns0:t>Gilbert, AZ</ns0:t>
        </ns0:is>
      </ns0:c>
      <ns0:c r="G200" t="inlineStr">
        <ns0:is>
          <ns0:t>4.7+/5</ns0:t>
        </ns0:is>
      </ns0:c>
      <ns0:c r="I200" t="inlineStr">
        <ns0:is>
          <ns0:t>YES</ns0:t>
        </ns0:is>
      </ns0:c>
      <ns0:c r="J200" t="str" s="1">
        <ns0:f>HYPERLINK("https://travisandsonsplumbing.com","travisandsonsplumbing.com")</ns0:f>
      </ns0:c>
      <ns0:c r="K200" t="inlineStr">
        <ns0:is>
          <ns0:t>Google</ns0:t>
        </ns0:is>
      </ns0:c>
    </ns0:row>
    <ns0:row r="201">
      <ns0:c r="A201" t="inlineStr">
        <ns0:is>
          <ns0:t>Winston-Salem</ns0:t>
        </ns0:is>
      </ns0:c>
      <ns0:c r="B201" t="inlineStr">
        <ns0:is>
          <ns0:t>NC</ns0:t>
        </ns0:is>
      </ns0:c>
      <ns0:c r="C201" t="inlineStr">
        <ns0:is>
          <ns0:t>Transou's Plumbing &amp; Septic</ns0:t>
        </ns0:is>
      </ns0:c>
      <ns0:c r="D201" t="inlineStr">
        <ns0:is>
          <ns0:t>(336) 276-1263</ns0:t>
        </ns0:is>
      </ns0:c>
      <ns0:c r="F201" t="inlineStr">
        <ns0:is>
          <ns0:t>Winston-Salem, NC</ns0:t>
        </ns0:is>
      </ns0:c>
      <ns0:c r="G201" t="inlineStr">
        <ns0:is>
          <ns0:t>4.6+/5</ns0:t>
        </ns0:is>
      </ns0:c>
      <ns0:c r="I201" t="inlineStr">
        <ns0:is>
          <ns0:t>YES</ns0:t>
        </ns0:is>
      </ns0:c>
      <ns0:c r="K201" t="inlineStr">
        <ns0:is>
          <ns0:t>Google</ns0:t>
        </ns0:is>
      </ns0:c>
    </ns0:row>
    <ns0:row r="202">
      <ns0:c r="A202" t="inlineStr">
        <ns0:is>
          <ns0:t>Hialeah</ns0:t>
        </ns0:is>
      </ns0:c>
      <ns0:c r="B202" t="inlineStr">
        <ns0:is>
          <ns0:t>FL</ns0:t>
        </ns0:is>
      </ns0:c>
      <ns0:c r="C202" t="inlineStr">
        <ns0:is>
          <ns0:t>Hernandez Plumbing Co.</ns0:t>
        </ns0:is>
      </ns0:c>
      <ns0:c r="D202" t="inlineStr">
        <ns0:is>
          <ns0:t>(305) 428-3782</ns0:t>
        </ns0:is>
      </ns0:c>
      <ns0:c r="F202" t="inlineStr">
        <ns0:is>
          <ns0:t>Hialeah, FL</ns0:t>
        </ns0:is>
      </ns0:c>
      <ns0:c r="G202" t="inlineStr">
        <ns0:is>
          <ns0:t>4.6+/5</ns0:t>
        </ns0:is>
      </ns0:c>
      <ns0:c r="I202" t="inlineStr">
        <ns0:is>
          <ns0:t>YES</ns0:t>
        </ns0:is>
      </ns0:c>
      <ns0:c r="J202" t="str" s="1">
        <ns0:f>HYPERLINK("https://hernandezplumbing.com","hernandezplumbing.com")</ns0:f>
      </ns0:c>
      <ns0:c r="K202" t="inlineStr">
        <ns0:is>
          <ns0:t>Google</ns0:t>
        </ns0:is>
      </ns0:c>
    </ns0:row>
    <ns0:row r="203">
      <ns0:c r="A203" t="inlineStr">
        <ns0:is>
          <ns0:t>Modesto</ns0:t>
        </ns0:is>
      </ns0:c>
      <ns0:c r="B203" t="inlineStr">
        <ns0:is>
          <ns0:t>CA</ns0:t>
        </ns0:is>
      </ns0:c>
      <ns0:c r="C203" t="inlineStr">
        <ns0:is>
          <ns0:t>Herk's Plumbing</ns0:t>
        </ns0:is>
      </ns0:c>
      <ns0:c r="D203" t="inlineStr">
        <ns0:is>
          <ns0:t>(209) 496-1388</ns0:t>
        </ns0:is>
      </ns0:c>
      <ns0:c r="F203" t="inlineStr">
        <ns0:is>
          <ns0:t>Modesto, CA</ns0:t>
        </ns0:is>
      </ns0:c>
      <ns0:c r="G203" t="inlineStr">
        <ns0:is>
          <ns0:t>4.6+/5</ns0:t>
        </ns0:is>
      </ns0:c>
      <ns0:c r="I203" t="inlineStr">
        <ns0:is>
          <ns0:t>YES</ns0:t>
        </ns0:is>
      </ns0:c>
      <ns0:c r="J203" t="str" s="1">
        <ns0:f>HYPERLINK("https://herksplumbing.com","herksplumbing.com")</ns0:f>
      </ns0:c>
      <ns0:c r="K203" t="inlineStr">
        <ns0:is>
          <ns0:t>Google</ns0:t>
        </ns0:is>
      </ns0:c>
    </ns0:row>
    <ns0:row r="204">
      <ns0:c r="A204" t="inlineStr">
        <ns0:is>
          <ns0:t>Fontana</ns0:t>
        </ns0:is>
      </ns0:c>
      <ns0:c r="B204" t="inlineStr">
        <ns0:is>
          <ns0:t>CA</ns0:t>
        </ns0:is>
      </ns0:c>
      <ns0:c r="C204" t="inlineStr">
        <ns0:is>
          <ns0:t>Family Ties Air, Plumbing, &amp; Drain</ns0:t>
        </ns0:is>
      </ns0:c>
      <ns0:c r="D204" t="inlineStr">
        <ns0:is>
          <ns0:t>(909) 332-2558</ns0:t>
        </ns0:is>
      </ns0:c>
      <ns0:c r="F204" t="inlineStr">
        <ns0:is>
          <ns0:t>Fontana, CA</ns0:t>
        </ns0:is>
      </ns0:c>
      <ns0:c r="G204" t="inlineStr">
        <ns0:is>
          <ns0:t>4.6+/5</ns0:t>
        </ns0:is>
      </ns0:c>
      <ns0:c r="I204" t="inlineStr">
        <ns0:is>
          <ns0:t>YES</ns0:t>
        </ns0:is>
      </ns0:c>
      <ns0:c r="J204" t="str" s="1">
        <ns0:f>HYPERLINK("https://familytiesair.com","familytiesair.com")</ns0:f>
      </ns0:c>
      <ns0:c r="K204" t="inlineStr">
        <ns0:is>
          <ns0:t>Google</ns0:t>
        </ns0:is>
      </ns0:c>
    </ns0:row>
    <ns0:row r="205">
      <ns0:c r="A205" t="inlineStr">
        <ns0:is>
          <ns0:t>Moreno Valley</ns0:t>
        </ns0:is>
      </ns0:c>
      <ns0:c r="B205" t="inlineStr">
        <ns0:is>
          <ns0:t>CA</ns0:t>
        </ns0:is>
      </ns0:c>
      <ns0:c r="C205" t="inlineStr">
        <ns0:is>
          <ns0:t>McPherson Bros Plumbing</ns0:t>
        </ns0:is>
      </ns0:c>
      <ns0:c r="D205" t="inlineStr">
        <ns0:is>
          <ns0:t>(833) 627-2767</ns0:t>
        </ns0:is>
      </ns0:c>
      <ns0:c r="F205" t="inlineStr">
        <ns0:is>
          <ns0:t>Moreno Valley, CA</ns0:t>
        </ns0:is>
      </ns0:c>
      <ns0:c r="G205" t="inlineStr">
        <ns0:is>
          <ns0:t>4.5+/5</ns0:t>
        </ns0:is>
      </ns0:c>
      <ns0:c r="I205" t="inlineStr">
        <ns0:is>
          <ns0:t>YES</ns0:t>
        </ns0:is>
      </ns0:c>
      <ns0:c r="J205" t="str" s="1">
        <ns0:f>HYPERLINK("https://mcphersonbros.com","mcphersonbros.com")</ns0:f>
      </ns0:c>
      <ns0:c r="K205" t="inlineStr">
        <ns0:is>
          <ns0:t>Google</ns0:t>
        </ns0:is>
      </ns0:c>
    </ns0:row>
    <ns0:row r="206">
      <ns0:c r="A206" t="inlineStr">
        <ns0:is>
          <ns0:t>Brownsville</ns0:t>
        </ns0:is>
      </ns0:c>
      <ns0:c r="B206" t="inlineStr">
        <ns0:is>
          <ns0:t>TX</ns0:t>
        </ns0:is>
      </ns0:c>
      <ns0:c r="C206" t="inlineStr">
        <ns0:is>
          <ns0:t>Robert's Repair Plumbing</ns0:t>
        </ns0:is>
      </ns0:c>
      <ns0:c r="D206" t="inlineStr">
        <ns0:is>
          <ns0:t>(956) 203-9993</ns0:t>
        </ns0:is>
      </ns0:c>
      <ns0:c r="F206" t="inlineStr">
        <ns0:is>
          <ns0:t>Brownsville, TX</ns0:t>
        </ns0:is>
      </ns0:c>
      <ns0:c r="G206" t="inlineStr">
        <ns0:is>
          <ns0:t>4.5+/5</ns0:t>
        </ns0:is>
      </ns0:c>
      <ns0:c r="I206" t="inlineStr">
        <ns0:is>
          <ns0:t>YES</ns0:t>
        </ns0:is>
      </ns0:c>
      <ns0:c r="J206" t="str" s="1">
        <ns0:f>HYPERLINK("https://robertsrepair.com","robertsrepair.com")</ns0:f>
      </ns0:c>
      <ns0:c r="K206" t="inlineStr">
        <ns0:is>
          <ns0:t>Google</ns0:t>
        </ns0:is>
      </ns0:c>
    </ns0:row>
    <ns0:row r="207">
      <ns0:c r="A207" t="inlineStr">
        <ns0:is>
          <ns0:t>Fayetteville</ns0:t>
        </ns0:is>
      </ns0:c>
      <ns0:c r="B207" t="inlineStr">
        <ns0:is>
          <ns0:t>NC</ns0:t>
        </ns0:is>
      </ns0:c>
      <ns0:c r="C207" t="inlineStr">
        <ns0:is>
          <ns0:t>Woods Plumbing Service LLC</ns0:t>
        </ns0:is>
      </ns0:c>
      <ns0:c r="D207" t="inlineStr">
        <ns0:is>
          <ns0:t>(910) 920-3908</ns0:t>
        </ns0:is>
      </ns0:c>
      <ns0:c r="F207" t="inlineStr">
        <ns0:is>
          <ns0:t>Fayetteville, NC</ns0:t>
        </ns0:is>
      </ns0:c>
      <ns0:c r="G207" t="inlineStr">
        <ns0:is>
          <ns0:t>4.6+/5</ns0:t>
        </ns0:is>
      </ns0:c>
      <ns0:c r="I207" t="inlineStr">
        <ns0:is>
          <ns0:t>YES</ns0:t>
        </ns0:is>
      </ns0:c>
      <ns0:c r="J207" t="str" s="1">
        <ns0:f>HYPERLINK("https://woodsplumbing.com","woodsplumbing.com")</ns0:f>
      </ns0:c>
      <ns0:c r="K207" t="inlineStr">
        <ns0:is>
          <ns0:t>Google</ns0:t>
        </ns0:is>
      </ns0:c>
    </ns0:row>
    <ns0:row r="208">
      <ns0:c r="A208" t="inlineStr">
        <ns0:is>
          <ns0:t>Huntington Beach</ns0:t>
        </ns0:is>
      </ns0:c>
      <ns0:c r="B208" t="inlineStr">
        <ns0:is>
          <ns0:t>CA</ns0:t>
        </ns0:is>
      </ns0:c>
      <ns0:c r="C208" t="inlineStr">
        <ns0:is>
          <ns0:t>DeVinney Plumbing, Inc.</ns0:t>
        </ns0:is>
      </ns0:c>
      <ns0:c r="D208" t="inlineStr">
        <ns0:is>
          <ns0:t>(714) 375-0126</ns0:t>
        </ns0:is>
      </ns0:c>
      <ns0:c r="F208" t="inlineStr">
        <ns0:is>
          <ns0:t>Huntington Beach, CA</ns0:t>
        </ns0:is>
      </ns0:c>
      <ns0:c r="G208" t="inlineStr">
        <ns0:is>
          <ns0:t>4.7+/5</ns0:t>
        </ns0:is>
      </ns0:c>
      <ns0:c r="I208" t="inlineStr">
        <ns0:is>
          <ns0:t>YES</ns0:t>
        </ns0:is>
      </ns0:c>
      <ns0:c r="J208" t="str" s="1">
        <ns0:f>HYPERLINK("https://devinneyplumbing.com","devinneyplumbing.com")</ns0:f>
      </ns0:c>
      <ns0:c r="K208" t="inlineStr">
        <ns0:is>
          <ns0:t>Google</ns0:t>
        </ns0:is>
      </ns0:c>
    </ns0:row>
    <ns0:row r="209">
      <ns0:c r="A209" t="inlineStr">
        <ns0:is>
          <ns0:t>Grand Prairie</ns0:t>
        </ns0:is>
      </ns0:c>
      <ns0:c r="B209" t="inlineStr">
        <ns0:is>
          <ns0:t>TX</ns0:t>
        </ns0:is>
      </ns0:c>
      <ns0:c r="C209" t="inlineStr">
        <ns0:is>
          <ns0:t>Grand Prairie Plumbing</ns0:t>
        </ns0:is>
      </ns0:c>
      <ns0:c r="F209" t="inlineStr">
        <ns0:is>
          <ns0:t>Grand Prairie, TX</ns0:t>
        </ns0:is>
      </ns0:c>
      <ns0:c r="G209" t="inlineStr">
        <ns0:is>
          <ns0:t>4.6+/5</ns0:t>
        </ns0:is>
      </ns0:c>
      <ns0:c r="I209" t="inlineStr">
        <ns0:is>
          <ns0:t>YES</ns0:t>
        </ns0:is>
      </ns0:c>
      <ns0:c r="K209" t="inlineStr">
        <ns0:is>
          <ns0:t>Google</ns0:t>
        </ns0:is>
      </ns0:c>
    </ns0:row>
    <ns0:row r="210">
      <ns0:c r="A210" t="inlineStr">
        <ns0:is>
          <ns0:t>Newport News</ns0:t>
        </ns0:is>
      </ns0:c>
      <ns0:c r="B210" t="inlineStr">
        <ns0:is>
          <ns0:t>VA</ns0:t>
        </ns0:is>
      </ns0:c>
      <ns0:c r="C210" t="inlineStr">
        <ns0:is>
          <ns0:t>Blair's Plumbing Repair &amp; Drains</ns0:t>
        </ns0:is>
      </ns0:c>
      <ns0:c r="D210" t="inlineStr">
        <ns0:is>
          <ns0:t>(757) 719-1236</ns0:t>
        </ns0:is>
      </ns0:c>
      <ns0:c r="F210" t="inlineStr">
        <ns0:is>
          <ns0:t>Newport News, VA</ns0:t>
        </ns0:is>
      </ns0:c>
      <ns0:c r="G210" t="inlineStr">
        <ns0:is>
          <ns0:t>4.5+/5</ns0:t>
        </ns0:is>
      </ns0:c>
      <ns0:c r="I210" t="inlineStr">
        <ns0:is>
          <ns0:t>YES</ns0:t>
        </ns0:is>
      </ns0:c>
      <ns0:c r="J210" t="str" s="1">
        <ns0:f>HYPERLINK("https://blairsplumbingrepair.com","blairsplumbingrepair.com")</ns0:f>
      </ns0:c>
      <ns0:c r="K210" t="inlineStr">
        <ns0:is>
          <ns0:t>Google</ns0:t>
        </ns0:is>
      </ns0:c>
    </ns0:row>
    <ns0:row r="211">
      <ns0:c r="A211" t="inlineStr">
        <ns0:is>
          <ns0:t>Madison</ns0:t>
        </ns0:is>
      </ns0:c>
      <ns0:c r="B211" t="inlineStr">
        <ns0:is>
          <ns0:t>WI</ns0:t>
        </ns0:is>
      </ns0:c>
      <ns0:c r="C211" t="inlineStr">
        <ns0:is>
          <ns0:t>Howe Brothers Plumbing LLC</ns0:t>
        </ns0:is>
      </ns0:c>
      <ns0:c r="D211" t="inlineStr">
        <ns0:is>
          <ns0:t>(608) 257-2884</ns0:t>
        </ns0:is>
      </ns0:c>
      <ns0:c r="F211" t="inlineStr">
        <ns0:is>
          <ns0:t>Madison, WI</ns0:t>
        </ns0:is>
      </ns0:c>
      <ns0:c r="G211" t="inlineStr">
        <ns0:is>
          <ns0:t>4.6+/5</ns0:t>
        </ns0:is>
      </ns0:c>
      <ns0:c r="I211" t="inlineStr">
        <ns0:is>
          <ns0:t>YES</ns0:t>
        </ns0:is>
      </ns0:c>
      <ns0:c r="K211" t="inlineStr">
        <ns0:is>
          <ns0:t>Google</ns0:t>
        </ns0:is>
      </ns0:c>
    </ns0:row>
    <ns0:row r="212">
      <ns0:c r="A212" t="inlineStr">
        <ns0:is>
          <ns0:t>Chandler</ns0:t>
        </ns0:is>
      </ns0:c>
      <ns0:c r="B212" t="inlineStr">
        <ns0:is>
          <ns0:t>AZ</ns0:t>
        </ns0:is>
      </ns0:c>
      <ns0:c r="C212" t="inlineStr">
        <ns0:is>
          <ns0:t>Roy Dossey Plumbing</ns0:t>
        </ns0:is>
      </ns0:c>
      <ns0:c r="D212" t="inlineStr">
        <ns0:is>
          <ns0:t>(480) 963-3302</ns0:t>
        </ns0:is>
      </ns0:c>
      <ns0:c r="F212" t="inlineStr">
        <ns0:is>
          <ns0:t>Chandler, AZ</ns0:t>
        </ns0:is>
      </ns0:c>
      <ns0:c r="G212" t="inlineStr">
        <ns0:is>
          <ns0:t>4.7+/5</ns0:t>
        </ns0:is>
      </ns0:c>
      <ns0:c r="I212" t="inlineStr">
        <ns0:is>
          <ns0:t>YES</ns0:t>
        </ns0:is>
      </ns0:c>
      <ns0:c r="K212" t="inlineStr">
        <ns0:is>
          <ns0:t>Google</ns0:t>
        </ns0:is>
      </ns0:c>
    </ns0:row>
    <ns0:row r="213">
      <ns0:c r="A213" t="inlineStr">
        <ns0:is>
          <ns0:t>Irving</ns0:t>
        </ns0:is>
      </ns0:c>
      <ns0:c r="B213" t="inlineStr">
        <ns0:is>
          <ns0:t>TX</ns0:t>
        </ns0:is>
      </ns0:c>
      <ns0:c r="C213" t="inlineStr">
        <ns0:is>
          <ns0:t>Reeves Family Plumbing</ns0:t>
        </ns0:is>
      </ns0:c>
      <ns0:c r="D213" t="inlineStr">
        <ns0:is>
          <ns0:t>(972) 247-3763</ns0:t>
        </ns0:is>
      </ns0:c>
      <ns0:c r="F213" t="inlineStr">
        <ns0:is>
          <ns0:t>Irving, TX</ns0:t>
        </ns0:is>
      </ns0:c>
      <ns0:c r="G213" t="inlineStr">
        <ns0:is>
          <ns0:t>4.6+/5</ns0:t>
        </ns0:is>
      </ns0:c>
      <ns0:c r="I213" t="inlineStr">
        <ns0:is>
          <ns0:t>YES</ns0:t>
        </ns0:is>
      </ns0:c>
      <ns0:c r="J213" t="str" s="1">
        <ns0:f>HYPERLINK("https://reevesfamily.com","reevesfamily.com")</ns0:f>
      </ns0:c>
      <ns0:c r="K213" t="inlineStr">
        <ns0:is>
          <ns0:t>Google</ns0:t>
        </ns0:is>
      </ns0:c>
    </ns0:row>
    <ns0:row r="214">
      <ns0:c r="A214" t="inlineStr">
        <ns0:is>
          <ns0:t>Scottsdale</ns0:t>
        </ns0:is>
      </ns0:c>
      <ns0:c r="B214" t="inlineStr">
        <ns0:is>
          <ns0:t>AZ</ns0:t>
        </ns0:is>
      </ns0:c>
      <ns0:c r="C214" t="inlineStr">
        <ns0:is>
          <ns0:t>DC Family Plumbing</ns0:t>
        </ns0:is>
      </ns0:c>
      <ns0:c r="D214" t="inlineStr">
        <ns0:is>
          <ns0:t>(480) 300-4791</ns0:t>
        </ns0:is>
      </ns0:c>
      <ns0:c r="F214" t="inlineStr">
        <ns0:is>
          <ns0:t>Scottsdale, AZ</ns0:t>
        </ns0:is>
      </ns0:c>
      <ns0:c r="G214" t="inlineStr">
        <ns0:is>
          <ns0:t>4.7+/5</ns0:t>
        </ns0:is>
      </ns0:c>
      <ns0:c r="I214" t="inlineStr">
        <ns0:is>
          <ns0:t>YES</ns0:t>
        </ns0:is>
      </ns0:c>
      <ns0:c r="J214" t="str" s="1">
        <ns0:f>HYPERLINK("https://dcfamilyplumbing.com","dcfamilyplumbing.com")</ns0:f>
      </ns0:c>
      <ns0:c r="K214" t="inlineStr">
        <ns0:is>
          <ns0:t>Google</ns0:t>
        </ns0:is>
      </ns0:c>
    </ns0:row>
    <ns0:row r="215">
      <ns0:c r="A215" t="inlineStr">
        <ns0:is>
          <ns0:t>Loveland</ns0:t>
        </ns0:is>
      </ns0:c>
      <ns0:c r="B215" t="inlineStr">
        <ns0:is>
          <ns0:t>CO</ns0:t>
        </ns0:is>
      </ns0:c>
      <ns0:c r="C215" t="inlineStr">
        <ns0:is>
          <ns0:t>Loveland Plumbing</ns0:t>
        </ns0:is>
      </ns0:c>
      <ns0:c r="F215" t="inlineStr">
        <ns0:is>
          <ns0:t>Loveland, CO</ns0:t>
        </ns0:is>
      </ns0:c>
      <ns0:c r="G215" t="inlineStr">
        <ns0:is>
          <ns0:t>4.6+/5</ns0:t>
        </ns0:is>
      </ns0:c>
      <ns0:c r="I215" t="inlineStr">
        <ns0:is>
          <ns0:t>YES</ns0:t>
        </ns0:is>
      </ns0:c>
      <ns0:c r="K215" t="inlineStr">
        <ns0:is>
          <ns0:t>Google</ns0:t>
        </ns0:is>
      </ns0:c>
    </ns0:row>
    <ns0:row r="216">
      <ns0:c r="A216" t="inlineStr">
        <ns0:is>
          <ns0:t>Greensboro</ns0:t>
        </ns0:is>
      </ns0:c>
      <ns0:c r="B216" t="inlineStr">
        <ns0:is>
          <ns0:t>NC</ns0:t>
        </ns0:is>
      </ns0:c>
      <ns0:c r="C216" t="inlineStr">
        <ns0:is>
          <ns0:t>Owens Plumbing Company LLC</ns0:t>
        </ns0:is>
      </ns0:c>
      <ns0:c r="D216" t="inlineStr">
        <ns0:is>
          <ns0:t>(336) 908-8478</ns0:t>
        </ns0:is>
      </ns0:c>
      <ns0:c r="F216" t="inlineStr">
        <ns0:is>
          <ns0:t>Greensboro, NC</ns0:t>
        </ns0:is>
      </ns0:c>
      <ns0:c r="G216" t="inlineStr">
        <ns0:is>
          <ns0:t>4.6+/5</ns0:t>
        </ns0:is>
      </ns0:c>
      <ns0:c r="I216" t="inlineStr">
        <ns0:is>
          <ns0:t>YES</ns0:t>
        </ns0:is>
      </ns0:c>
      <ns0:c r="J216" t="str" s="1">
        <ns0:f>HYPERLINK("https://owensplumbingcompany.com","owensplumbingcompany.com")</ns0:f>
      </ns0:c>
      <ns0:c r="K216" t="inlineStr">
        <ns0:is>
          <ns0:t>Google</ns0:t>
        </ns0:is>
      </ns0:c>
    </ns0:row>
    <ns0:row r="217">
      <ns0:c r="A217" t="inlineStr">
        <ns0:is>
          <ns0:t>Irvine</ns0:t>
        </ns0:is>
      </ns0:c>
      <ns0:c r="B217" t="inlineStr">
        <ns0:is>
          <ns0:t>CA</ns0:t>
        </ns0:is>
      </ns0:c>
      <ns0:c r="C217" t="inlineStr">
        <ns0:is>
          <ns0:t>Irvine Plumbing</ns0:t>
        </ns0:is>
      </ns0:c>
      <ns0:c r="D217" t="inlineStr">
        <ns0:is>
          <ns0:t>(949) 850-4471</ns0:t>
        </ns0:is>
      </ns0:c>
      <ns0:c r="F217" t="inlineStr">
        <ns0:is>
          <ns0:t>Irvine, CA</ns0:t>
        </ns0:is>
      </ns0:c>
      <ns0:c r="G217" t="inlineStr">
        <ns0:is>
          <ns0:t>4.6+/5</ns0:t>
        </ns0:is>
      </ns0:c>
      <ns0:c r="I217" t="inlineStr">
        <ns0:is>
          <ns0:t>YES</ns0:t>
        </ns0:is>
      </ns0:c>
      <ns0:c r="J217" t="str" s="1">
        <ns0:f>HYPERLINK("https://irvineplumbing.com","irvineplumbing.com")</ns0:f>
      </ns0:c>
      <ns0:c r="K217" t="inlineStr">
        <ns0:is>
          <ns0:t>Google</ns0:t>
        </ns0:is>
      </ns0:c>
    </ns0:row>
    <ns0:row r="218">
      <ns0:c r="A218" t="inlineStr">
        <ns0:is>
          <ns0:t>Santa Ana</ns0:t>
        </ns0:is>
      </ns0:c>
      <ns0:c r="B218" t="inlineStr">
        <ns0:is>
          <ns0:t>CA</ns0:t>
        </ns0:is>
      </ns0:c>
      <ns0:c r="C218" t="inlineStr">
        <ns0:is>
          <ns0:t>Do It Right Plumbers</ns0:t>
        </ns0:is>
      </ns0:c>
      <ns0:c r="D218" t="inlineStr">
        <ns0:is>
          <ns0:t>(657) 229-2993</ns0:t>
        </ns0:is>
      </ns0:c>
      <ns0:c r="E218" t="inlineStr">
        <ns0:is>
          <ns0:t>leads@doitrightplumbers.com</ns0:t>
        </ns0:is>
      </ns0:c>
      <ns0:c r="F218" t="inlineStr">
        <ns0:is>
          <ns0:t>Santa Ana, CA</ns0:t>
        </ns0:is>
      </ns0:c>
      <ns0:c r="G218" t="inlineStr">
        <ns0:is>
          <ns0:t>4.6+/5</ns0:t>
        </ns0:is>
      </ns0:c>
      <ns0:c r="I218" t="inlineStr">
        <ns0:is>
          <ns0:t>YES</ns0:t>
        </ns0:is>
      </ns0:c>
      <ns0:c r="J218" t="str" s="1">
        <ns0:f>HYPERLINK("https://doitrightplumbers.com","doitrightplumbers.com")</ns0:f>
      </ns0:c>
      <ns0:c r="K218" t="inlineStr">
        <ns0:is>
          <ns0:t>Google</ns0:t>
        </ns0:is>
      </ns0:c>
    </ns0:row>
    <ns0:row r="219">
      <ns0:c r="A219" t="inlineStr">
        <ns0:is>
          <ns0:t>Long Beach</ns0:t>
        </ns0:is>
      </ns0:c>
      <ns0:c r="B219" t="inlineStr">
        <ns0:is>
          <ns0:t>CA</ns0:t>
        </ns0:is>
      </ns0:c>
      <ns0:c r="C219" t="inlineStr">
        <ns0:is>
          <ns0:t>The Family Plumber</ns0:t>
        </ns0:is>
      </ns0:c>
      <ns0:c r="D219" t="inlineStr">
        <ns0:is>
          <ns0:t>(562) 459-6445</ns0:t>
        </ns0:is>
      </ns0:c>
      <ns0:c r="E219" t="inlineStr">
        <ns0:is>
          <ns0:t>info@thefamilyplumber.com</ns0:t>
        </ns0:is>
      </ns0:c>
      <ns0:c r="F219" t="inlineStr">
        <ns0:is>
          <ns0:t>Long Beach, CA</ns0:t>
        </ns0:is>
      </ns0:c>
      <ns0:c r="G219" t="inlineStr">
        <ns0:is>
          <ns0:t>4.6+/5</ns0:t>
        </ns0:is>
      </ns0:c>
      <ns0:c r="I219" t="inlineStr">
        <ns0:is>
          <ns0:t>YES</ns0:t>
        </ns0:is>
      </ns0:c>
      <ns0:c r="J219" t="str" s="1">
        <ns0:f>HYPERLINK("https://thefamilyplumber.com","thefamilyplumber.com")</ns0:f>
      </ns0:c>
      <ns0:c r="K219" t="inlineStr">
        <ns0:is>
          <ns0:t>Google</ns0:t>
        </ns0:is>
      </ns0:c>
    </ns0:row>
    <ns0:row r="220">
      <ns0:c r="A220" t="inlineStr">
        <ns0:is>
          <ns0:t>Las Vegas</ns0:t>
        </ns0:is>
      </ns0:c>
      <ns0:c r="B220" t="inlineStr">
        <ns0:is>
          <ns0:t>NV</ns0:t>
        </ns0:is>
      </ns0:c>
      <ns0:c r="C220" t="inlineStr">
        <ns0:is>
          <ns0:t>Vegas Valley Plumbing</ns0:t>
        </ns0:is>
      </ns0:c>
      <ns0:c r="D220" t="inlineStr">
        <ns0:is>
          <ns0:t>(702) 766-8827</ns0:t>
        </ns0:is>
      </ns0:c>
      <ns0:c r="F220" t="inlineStr">
        <ns0:is>
          <ns0:t>Las Vegas, NV</ns0:t>
        </ns0:is>
      </ns0:c>
      <ns0:c r="G220" t="inlineStr">
        <ns0:is>
          <ns0:t>4.6+/5</ns0:t>
        </ns0:is>
      </ns0:c>
      <ns0:c r="I220" t="inlineStr">
        <ns0:is>
          <ns0:t>YES</ns0:t>
        </ns0:is>
      </ns0:c>
      <ns0:c r="J220" t="str" s="1">
        <ns0:f>HYPERLINK("https://vegasvalley.com","vegasvalley.com")</ns0:f>
      </ns0:c>
      <ns0:c r="K220" t="inlineStr">
        <ns0:is>
          <ns0:t>Google</ns0:t>
        </ns0:is>
      </ns0:c>
    </ns0:row>
    <ns0:row r="221">
      <ns0:c r="A221" t="inlineStr">
        <ns0:is>
          <ns0:t>Fresno</ns0:t>
        </ns0:is>
      </ns0:c>
      <ns0:c r="B221" t="inlineStr">
        <ns0:is>
          <ns0:t>CA</ns0:t>
        </ns0:is>
      </ns0:c>
      <ns0:c r="C221" t="inlineStr">
        <ns0:is>
          <ns0:t>Fresno Plumbing</ns0:t>
        </ns0:is>
      </ns0:c>
      <ns0:c r="F221" t="inlineStr">
        <ns0:is>
          <ns0:t>Fresno, CA</ns0:t>
        </ns0:is>
      </ns0:c>
      <ns0:c r="G221" t="inlineStr">
        <ns0:is>
          <ns0:t>4.6+/5</ns0:t>
        </ns0:is>
      </ns0:c>
      <ns0:c r="I221" t="inlineStr">
        <ns0:is>
          <ns0:t>YES</ns0:t>
        </ns0:is>
      </ns0:c>
      <ns0:c r="K221" t="inlineStr">
        <ns0:is>
          <ns0:t>Google</ns0:t>
        </ns0:is>
      </ns0:c>
    </ns0:row>
    <ns0:row r="222">
      <ns0:c r="A222" t="inlineStr">
        <ns0:is>
          <ns0:t>Sacramento</ns0:t>
        </ns0:is>
      </ns0:c>
      <ns0:c r="B222" t="inlineStr">
        <ns0:is>
          <ns0:t>CA</ns0:t>
        </ns0:is>
      </ns0:c>
      <ns0:c r="C222" t="inlineStr">
        <ns0:is>
          <ns0:t>Sacramento Plumbing</ns0:t>
        </ns0:is>
      </ns0:c>
      <ns0:c r="D222" t="inlineStr">
        <ns0:is>
          <ns0:t>(916) 606-6331</ns0:t>
        </ns0:is>
      </ns0:c>
      <ns0:c r="F222" t="inlineStr">
        <ns0:is>
          <ns0:t>Sacramento, CA</ns0:t>
        </ns0:is>
      </ns0:c>
      <ns0:c r="G222" t="inlineStr">
        <ns0:is>
          <ns0:t>4.6+/5</ns0:t>
        </ns0:is>
      </ns0:c>
      <ns0:c r="I222" t="inlineStr">
        <ns0:is>
          <ns0:t>YES</ns0:t>
        </ns0:is>
      </ns0:c>
      <ns0:c r="J222" t="str" s="1">
        <ns0:f>HYPERLINK("https://allsacramento.com","allsacramento.com")</ns0:f>
      </ns0:c>
      <ns0:c r="K222" t="inlineStr">
        <ns0:is>
          <ns0:t>Google</ns0:t>
        </ns0:is>
      </ns0:c>
    </ns0:row>
    <ns0:row r="223">
      <ns0:c r="A223" t="inlineStr">
        <ns0:is>
          <ns0:t>Kansas City</ns0:t>
        </ns0:is>
      </ns0:c>
      <ns0:c r="B223" t="inlineStr">
        <ns0:is>
          <ns0:t>MO</ns0:t>
        </ns0:is>
      </ns0:c>
      <ns0:c r="C223" t="inlineStr">
        <ns0:is>
          <ns0:t>Stine-Nichols Plumbing</ns0:t>
        </ns0:is>
      </ns0:c>
      <ns0:c r="D223" t="inlineStr">
        <ns0:is>
          <ns0:t>(816) 348-3481</ns0:t>
        </ns0:is>
      </ns0:c>
      <ns0:c r="F223" t="inlineStr">
        <ns0:is>
          <ns0:t>Kansas City, MO</ns0:t>
        </ns0:is>
      </ns0:c>
      <ns0:c r="G223" t="inlineStr">
        <ns0:is>
          <ns0:t>4.6+/5</ns0:t>
        </ns0:is>
      </ns0:c>
      <ns0:c r="I223" t="inlineStr">
        <ns0:is>
          <ns0:t>YES</ns0:t>
        </ns0:is>
      </ns0:c>
      <ns0:c r="J223" t="str" s="1">
        <ns0:f>HYPERLINK("https://stinenichols.com","stinenichols.com")</ns0:f>
      </ns0:c>
      <ns0:c r="K223" t="inlineStr">
        <ns0:is>
          <ns0:t>Google</ns0:t>
        </ns0:is>
      </ns0:c>
    </ns0:row>
    <ns0:row r="224">
      <ns0:c r="A224" t="inlineStr">
        <ns0:is>
          <ns0:t>Miami</ns0:t>
        </ns0:is>
      </ns0:c>
      <ns0:c r="B224" t="inlineStr">
        <ns0:is>
          <ns0:t>FL</ns0:t>
        </ns0:is>
      </ns0:c>
      <ns0:c r="C224" t="inlineStr">
        <ns0:is>
          <ns0:t>Miami Dade Plumbing</ns0:t>
        </ns0:is>
      </ns0:c>
      <ns0:c r="D224" t="inlineStr">
        <ns0:is>
          <ns0:t>(786) 756-3185</ns0:t>
        </ns0:is>
      </ns0:c>
      <ns0:c r="F224" t="inlineStr">
        <ns0:is>
          <ns0:t>Miami, FL</ns0:t>
        </ns0:is>
      </ns0:c>
      <ns0:c r="G224" t="inlineStr">
        <ns0:is>
          <ns0:t>4.6+/5</ns0:t>
        </ns0:is>
      </ns0:c>
      <ns0:c r="I224" t="inlineStr">
        <ns0:is>
          <ns0:t>YES</ns0:t>
        </ns0:is>
      </ns0:c>
      <ns0:c r="J224" t="str" s="1">
        <ns0:f>HYPERLINK("https://miamidadeplumbing.com","miamidadeplumbing.com")</ns0:f>
      </ns0:c>
      <ns0:c r="K224" t="inlineStr">
        <ns0:is>
          <ns0:t>Google</ns0:t>
        </ns0:is>
      </ns0:c>
    </ns0:row>
    <ns0:row r="225">
      <ns0:c r="A225" t="inlineStr">
        <ns0:is>
          <ns0:t>Tulsa</ns0:t>
        </ns0:is>
      </ns0:c>
      <ns0:c r="B225" t="inlineStr">
        <ns0:is>
          <ns0:t>OK</ns0:t>
        </ns0:is>
      </ns0:c>
      <ns0:c r="C225" t="inlineStr">
        <ns0:is>
          <ns0:t>Williams Plumbing &amp; Drain Service</ns0:t>
        </ns0:is>
      </ns0:c>
      <ns0:c r="D225" t="inlineStr">
        <ns0:is>
          <ns0:t>(918) 505-7332</ns0:t>
        </ns0:is>
      </ns0:c>
      <ns0:c r="F225" t="inlineStr">
        <ns0:is>
          <ns0:t>Tulsa, OK</ns0:t>
        </ns0:is>
      </ns0:c>
      <ns0:c r="G225" t="inlineStr">
        <ns0:is>
          <ns0:t>4.6+/5</ns0:t>
        </ns0:is>
      </ns0:c>
      <ns0:c r="I225" t="inlineStr">
        <ns0:is>
          <ns0:t>YES</ns0:t>
        </ns0:is>
      </ns0:c>
      <ns0:c r="J225" t="str" s="1">
        <ns0:f>HYPERLINK("https://williamsplumbing.com","williamsplumbing.com")</ns0:f>
      </ns0:c>
      <ns0:c r="K225" t="inlineStr">
        <ns0:is>
          <ns0:t>Google</ns0:t>
        </ns0:is>
      </ns0:c>
    </ns0:row>
    <ns0:row r="226">
      <ns0:c r="A226" t="inlineStr">
        <ns0:is>
          <ns0:t>Oakland</ns0:t>
        </ns0:is>
      </ns0:c>
      <ns0:c r="B226" t="inlineStr">
        <ns0:is>
          <ns0:t>CA</ns0:t>
        </ns0:is>
      </ns0:c>
      <ns0:c r="C226" t="inlineStr">
        <ns0:is>
          <ns0:t>Fazule and Sons Plumbing</ns0:t>
        </ns0:is>
      </ns0:c>
      <ns0:c r="D226" t="inlineStr">
        <ns0:is>
          <ns0:t>(510) 534-5480</ns0:t>
        </ns0:is>
      </ns0:c>
      <ns0:c r="F226" t="inlineStr">
        <ns0:is>
          <ns0:t>Oakland, CA</ns0:t>
        </ns0:is>
      </ns0:c>
      <ns0:c r="G226" t="inlineStr">
        <ns0:is>
          <ns0:t>4.6+/5</ns0:t>
        </ns0:is>
      </ns0:c>
      <ns0:c r="I226" t="inlineStr">
        <ns0:is>
          <ns0:t>YES</ns0:t>
        </ns0:is>
      </ns0:c>
      <ns0:c r="K226" t="inlineStr">
        <ns0:is>
          <ns0:t>Google</ns0:t>
        </ns0:is>
      </ns0:c>
    </ns0:row>
    <ns0:row r="227">
      <ns0:c r="A227" t="inlineStr">
        <ns0:is>
          <ns0:t>Arlington</ns0:t>
        </ns0:is>
      </ns0:c>
      <ns0:c r="B227" t="inlineStr">
        <ns0:is>
          <ns0:t>TX</ns0:t>
        </ns0:is>
      </ns0:c>
      <ns0:c r="C227" t="inlineStr">
        <ns0:is>
          <ns0:t>Family Friends Plumbing Service</ns0:t>
        </ns0:is>
      </ns0:c>
      <ns0:c r="D227" t="inlineStr">
        <ns0:is>
          <ns0:t>(817) 819-1471</ns0:t>
        </ns0:is>
      </ns0:c>
      <ns0:c r="E227" t="inlineStr">
        <ns0:is>
          <ns0:t>e7d54b729aaf49ea8b2f80dae22860aa@sentry.zipify.com</ns0:t>
        </ns0:is>
      </ns0:c>
      <ns0:c r="F227" t="inlineStr">
        <ns0:is>
          <ns0:t>Arlington, TX</ns0:t>
        </ns0:is>
      </ns0:c>
      <ns0:c r="G227" t="inlineStr">
        <ns0:is>
          <ns0:t>4.6+/5</ns0:t>
        </ns0:is>
      </ns0:c>
      <ns0:c r="I227" t="inlineStr">
        <ns0:is>
          <ns0:t>YES</ns0:t>
        </ns0:is>
      </ns0:c>
      <ns0:c r="J227" t="str" s="1">
        <ns0:f>HYPERLINK("https://familyfriends.com","familyfriends.com")</ns0:f>
      </ns0:c>
      <ns0:c r="K227" t="inlineStr">
        <ns0:is>
          <ns0:t>Google</ns0:t>
        </ns0:is>
      </ns0:c>
    </ns0:row>
    <ns0:row r="228">
      <ns0:c r="A228" t="inlineStr">
        <ns0:is>
          <ns0:t>New Orleans</ns0:t>
        </ns0:is>
      </ns0:c>
      <ns0:c r="B228" t="inlineStr">
        <ns0:is>
          <ns0:t>LA</ns0:t>
        </ns0:is>
      </ns0:c>
      <ns0:c r="C228" t="inlineStr">
        <ns0:is>
          <ns0:t>Noel's Plumbing, LLC.</ns0:t>
        </ns0:is>
      </ns0:c>
      <ns0:c r="D228" t="inlineStr">
        <ns0:is>
          <ns0:t>(504) 445-7222</ns0:t>
        </ns0:is>
      </ns0:c>
      <ns0:c r="F228" t="inlineStr">
        <ns0:is>
          <ns0:t>New Orleans, LA</ns0:t>
        </ns0:is>
      </ns0:c>
      <ns0:c r="G228" t="inlineStr">
        <ns0:is>
          <ns0:t>4.6+/5</ns0:t>
        </ns0:is>
      </ns0:c>
      <ns0:c r="I228" t="inlineStr">
        <ns0:is>
          <ns0:t>YES</ns0:t>
        </ns0:is>
      </ns0:c>
      <ns0:c r="K228" t="inlineStr">
        <ns0:is>
          <ns0:t>Google</ns0:t>
        </ns0:is>
      </ns0:c>
    </ns0:row>
    <ns0:row r="229">
      <ns0:c r="A229" t="inlineStr">
        <ns0:is>
          <ns0:t>Bakersfield</ns0:t>
        </ns0:is>
      </ns0:c>
      <ns0:c r="B229" t="inlineStr">
        <ns0:is>
          <ns0:t>CA</ns0:t>
        </ns0:is>
      </ns0:c>
      <ns0:c r="C229" t="inlineStr">
        <ns0:is>
          <ns0:t>Cisneros Brothers Plumbing</ns0:t>
        </ns0:is>
      </ns0:c>
      <ns0:c r="D229" t="inlineStr">
        <ns0:is>
          <ns0:t>(661) 768-0616</ns0:t>
        </ns0:is>
      </ns0:c>
      <ns0:c r="F229" t="inlineStr">
        <ns0:is>
          <ns0:t>Bakersfield, CA</ns0:t>
        </ns0:is>
      </ns0:c>
      <ns0:c r="G229" t="inlineStr">
        <ns0:is>
          <ns0:t>4.6+/5</ns0:t>
        </ns0:is>
      </ns0:c>
      <ns0:c r="I229" t="inlineStr">
        <ns0:is>
          <ns0:t>YES</ns0:t>
        </ns0:is>
      </ns0:c>
      <ns0:c r="J229" t="str" s="1">
        <ns0:f>HYPERLINK("https://cisnerosbrothersplumbing.com","cisnerosbrothersplumbing.com")</ns0:f>
      </ns0:c>
      <ns0:c r="K229" t="inlineStr">
        <ns0:is>
          <ns0:t>Google</ns0:t>
        </ns0:is>
      </ns0:c>
    </ns0:row>
    <ns0:row r="230">
      <ns0:c r="A230" t="inlineStr">
        <ns0:is>
          <ns0:t>Tampa</ns0:t>
        </ns0:is>
      </ns0:c>
      <ns0:c r="B230" t="inlineStr">
        <ns0:is>
          <ns0:t>FL</ns0:t>
        </ns0:is>
      </ns0:c>
      <ns0:c r="C230" t="inlineStr">
        <ns0:is>
          <ns0:t>Olin Plumbing Inc.</ns0:t>
        </ns0:is>
      </ns0:c>
      <ns0:c r="D230" t="inlineStr">
        <ns0:is>
          <ns0:t>(813) 443-5820</ns0:t>
        </ns0:is>
      </ns0:c>
      <ns0:c r="E230" t="inlineStr">
        <ns0:is>
          <ns0:t>info@olinplumbinginc.com</ns0:t>
        </ns0:is>
      </ns0:c>
      <ns0:c r="F230" t="inlineStr">
        <ns0:is>
          <ns0:t>Tampa, FL</ns0:t>
        </ns0:is>
      </ns0:c>
      <ns0:c r="G230" t="inlineStr">
        <ns0:is>
          <ns0:t>4.6+/5</ns0:t>
        </ns0:is>
      </ns0:c>
      <ns0:c r="I230" t="inlineStr">
        <ns0:is>
          <ns0:t>YES</ns0:t>
        </ns0:is>
      </ns0:c>
      <ns0:c r="J230" t="str" s="1">
        <ns0:f>HYPERLINK("https://olinplumbing.com","olinplumbing.com")</ns0:f>
      </ns0:c>
      <ns0:c r="K230" t="inlineStr">
        <ns0:is>
          <ns0:t>Google</ns0:t>
        </ns0:is>
      </ns0:c>
    </ns0:row>
    <ns0:row r="231">
      <ns0:c r="A231" t="inlineStr">
        <ns0:is>
          <ns0:t>Anaheim</ns0:t>
        </ns0:is>
      </ns0:c>
      <ns0:c r="B231" t="inlineStr">
        <ns0:is>
          <ns0:t>CA</ns0:t>
        </ns0:is>
      </ns0:c>
      <ns0:c r="C231" t="inlineStr">
        <ns0:is>
          <ns0:t>Barker and Sons Plumbing &amp; Rooter</ns0:t>
        </ns0:is>
      </ns0:c>
      <ns0:c r="D231" t="inlineStr">
        <ns0:is>
          <ns0:t>(714) 667-7800</ns0:t>
        </ns0:is>
      </ns0:c>
      <ns0:c r="F231" t="inlineStr">
        <ns0:is>
          <ns0:t>Anaheim, CA</ns0:t>
        </ns0:is>
      </ns0:c>
      <ns0:c r="G231" t="inlineStr">
        <ns0:is>
          <ns0:t>4.6+/5</ns0:t>
        </ns0:is>
      </ns0:c>
      <ns0:c r="I231" t="inlineStr">
        <ns0:is>
          <ns0:t>YES</ns0:t>
        </ns0:is>
      </ns0:c>
      <ns0:c r="J231" t="str" s="1">
        <ns0:f>HYPERLINK("https://barkerandsonsplumbing.com","barkerandsonsplumbing.com")</ns0:f>
      </ns0:c>
      <ns0:c r="K231" t="inlineStr">
        <ns0:is>
          <ns0:t>Google</ns0:t>
        </ns0:is>
      </ns0:c>
    </ns0:row>
    <ns0:row r="232">
      <ns0:c r="A232" t="inlineStr">
        <ns0:is>
          <ns0:t>Honolulu</ns0:t>
        </ns0:is>
      </ns0:c>
      <ns0:c r="B232" t="inlineStr">
        <ns0:is>
          <ns0:t>HI</ns0:t>
        </ns0:is>
      </ns0:c>
      <ns0:c r="C232" t="inlineStr">
        <ns0:is>
          <ns0:t>Allens Plumbing</ns0:t>
        </ns0:is>
      </ns0:c>
      <ns0:c r="D232" t="inlineStr">
        <ns0:is>
          <ns0:t>(808) 599-5511</ns0:t>
        </ns0:is>
      </ns0:c>
      <ns0:c r="F232" t="inlineStr">
        <ns0:is>
          <ns0:t>Honolulu, HI</ns0:t>
        </ns0:is>
      </ns0:c>
      <ns0:c r="G232" t="inlineStr">
        <ns0:is>
          <ns0:t>4.6+/5</ns0:t>
        </ns0:is>
      </ns0:c>
      <ns0:c r="I232" t="inlineStr">
        <ns0:is>
          <ns0:t>YES</ns0:t>
        </ns0:is>
      </ns0:c>
      <ns0:c r="J232" t="str" s="1">
        <ns0:f>HYPERLINK("https://allensplumbinghi.com","allensplumbinghi.com")</ns0:f>
      </ns0:c>
      <ns0:c r="K232" t="inlineStr">
        <ns0:is>
          <ns0:t>Google</ns0:t>
        </ns0:is>
      </ns0:c>
    </ns0:row>
    <ns0:row r="233">
      <ns0:c r="A233" t="inlineStr">
        <ns0:is>
          <ns0:t>Chula Vista</ns0:t>
        </ns0:is>
      </ns0:c>
      <ns0:c r="B233" t="inlineStr">
        <ns0:is>
          <ns0:t>CA</ns0:t>
        </ns0:is>
      </ns0:c>
      <ns0:c r="C233" t="inlineStr">
        <ns0:is>
          <ns0:t>Bob the Plumber of Chula Vista</ns0:t>
        </ns0:is>
      </ns0:c>
      <ns0:c r="D233" t="inlineStr">
        <ns0:is>
          <ns0:t>(619) 990-7960</ns0:t>
        </ns0:is>
      </ns0:c>
      <ns0:c r="F233" t="inlineStr">
        <ns0:is>
          <ns0:t>Chula Vista, CA</ns0:t>
        </ns0:is>
      </ns0:c>
      <ns0:c r="G233" t="inlineStr">
        <ns0:is>
          <ns0:t>4.6+/5</ns0:t>
        </ns0:is>
      </ns0:c>
      <ns0:c r="I233" t="inlineStr">
        <ns0:is>
          <ns0:t>YES</ns0:t>
        </ns0:is>
      </ns0:c>
      <ns0:c r="J233" t="str" s="1">
        <ns0:f>HYPERLINK("https://bobthe.com","bobthe.com")</ns0:f>
      </ns0:c>
      <ns0:c r="K233" t="inlineStr">
        <ns0:is>
          <ns0:t>Google</ns0:t>
        </ns0:is>
      </ns0:c>
    </ns0:row>
    <ns0:row r="234">
      <ns0:c r="A234" t="inlineStr">
        <ns0:is>
          <ns0:t>Fort Worth</ns0:t>
        </ns0:is>
      </ns0:c>
      <ns0:c r="B234" t="inlineStr">
        <ns0:is>
          <ns0:t>TX</ns0:t>
        </ns0:is>
      </ns0:c>
      <ns0:c r="C234" t="inlineStr">
        <ns0:is>
          <ns0:t>Larry Stinson Plumbing &amp; Water Heater Repair</ns0:t>
        </ns0:is>
      </ns0:c>
      <ns0:c r="D234" t="inlineStr">
        <ns0:is>
          <ns0:t>(817) 508-2631</ns0:t>
        </ns0:is>
      </ns0:c>
      <ns0:c r="F234" t="inlineStr">
        <ns0:is>
          <ns0:t>Fort Worth, TX</ns0:t>
        </ns0:is>
      </ns0:c>
      <ns0:c r="G234" t="inlineStr">
        <ns0:is>
          <ns0:t>4.6+/5</ns0:t>
        </ns0:is>
      </ns0:c>
      <ns0:c r="I234" t="inlineStr">
        <ns0:is>
          <ns0:t>YES</ns0:t>
        </ns0:is>
      </ns0:c>
      <ns0:c r="J234" t="str" s="1">
        <ns0:f>HYPERLINK("https://larrystinson.com","larrystinson.com")</ns0:f>
      </ns0:c>
      <ns0:c r="K234" t="inlineStr">
        <ns0:is>
          <ns0:t>Google</ns0:t>
        </ns0:is>
      </ns0:c>
    </ns0:row>
    <ns0:row r="235">
      <ns0:c r="A235" t="inlineStr">
        <ns0:is>
          <ns0:t>Garland</ns0:t>
        </ns0:is>
      </ns0:c>
      <ns0:c r="B235" t="inlineStr">
        <ns0:is>
          <ns0:t>TX</ns0:t>
        </ns0:is>
      </ns0:c>
      <ns0:c r="C235" t="inlineStr">
        <ns0:is>
          <ns0:t>Family Ties Plumbing &amp; Construction</ns0:t>
        </ns0:is>
      </ns0:c>
      <ns0:c r="D235" t="inlineStr">
        <ns0:is>
          <ns0:t>(972) 824-8833</ns0:t>
        </ns0:is>
      </ns0:c>
      <ns0:c r="F235" t="inlineStr">
        <ns0:is>
          <ns0:t>Garland, TX</ns0:t>
        </ns0:is>
      </ns0:c>
      <ns0:c r="G235" t="inlineStr">
        <ns0:is>
          <ns0:t>4.6+/5</ns0:t>
        </ns0:is>
      </ns0:c>
      <ns0:c r="I235" t="inlineStr">
        <ns0:is>
          <ns0:t>YES</ns0:t>
        </ns0:is>
      </ns0:c>
      <ns0:c r="K235" t="inlineStr">
        <ns0:is>
          <ns0:t>Google</ns0:t>
        </ns0:is>
      </ns0:c>
    </ns0:row>
    <ns0:row r="236">
      <ns0:c r="A236" t="inlineStr">
        <ns0:is>
          <ns0:t>Glendale</ns0:t>
        </ns0:is>
      </ns0:c>
      <ns0:c r="B236" t="inlineStr">
        <ns0:is>
          <ns0:t>AZ</ns0:t>
        </ns0:is>
      </ns0:c>
      <ns0:c r="C236" t="inlineStr">
        <ns0:is>
          <ns0:t>Glendale Plumbing AZ</ns0:t>
        </ns0:is>
      </ns0:c>
      <ns0:c r="F236" t="inlineStr">
        <ns0:is>
          <ns0:t>Glendale, AZ</ns0:t>
        </ns0:is>
      </ns0:c>
      <ns0:c r="G236" t="inlineStr">
        <ns0:is>
          <ns0:t>4.6+/5</ns0:t>
        </ns0:is>
      </ns0:c>
      <ns0:c r="I236" t="inlineStr">
        <ns0:is>
          <ns0:t>YES</ns0:t>
        </ns0:is>
      </ns0:c>
      <ns0:c r="K236" t="inlineStr">
        <ns0:is>
          <ns0:t>Google</ns0:t>
        </ns0:is>
      </ns0:c>
    </ns0:row>
    <ns0:row r="237">
      <ns0:c r="A237" t="inlineStr">
        <ns0:is>
          <ns0:t>Gilbert</ns0:t>
        </ns0:is>
      </ns0:c>
      <ns0:c r="B237" t="inlineStr">
        <ns0:is>
          <ns0:t>AZ</ns0:t>
        </ns0:is>
      </ns0:c>
      <ns0:c r="C237" t="inlineStr">
        <ns0:is>
          <ns0:t>Travis &amp; Sons Plumbing &amp; Rooter</ns0:t>
        </ns0:is>
      </ns0:c>
      <ns0:c r="D237" t="inlineStr">
        <ns0:is>
          <ns0:t>(480) 568-2309</ns0:t>
        </ns0:is>
      </ns0:c>
      <ns0:c r="F237" t="inlineStr">
        <ns0:is>
          <ns0:t>Gilbert, AZ</ns0:t>
        </ns0:is>
      </ns0:c>
      <ns0:c r="G237" t="inlineStr">
        <ns0:is>
          <ns0:t>4.6+/5</ns0:t>
        </ns0:is>
      </ns0:c>
      <ns0:c r="I237" t="inlineStr">
        <ns0:is>
          <ns0:t>YES</ns0:t>
        </ns0:is>
      </ns0:c>
      <ns0:c r="J237" t="str" s="1">
        <ns0:f>HYPERLINK("https://travisandsonsplumbing.com","travisandsonsplumbing.com")</ns0:f>
      </ns0:c>
      <ns0:c r="K237" t="inlineStr">
        <ns0:is>
          <ns0:t>Google</ns0:t>
        </ns0:is>
      </ns0:c>
    </ns0:row>
    <ns0:row r="238">
      <ns0:c r="A238" t="inlineStr">
        <ns0:is>
          <ns0:t>Laredo</ns0:t>
        </ns0:is>
      </ns0:c>
      <ns0:c r="B238" t="inlineStr">
        <ns0:is>
          <ns0:t>TX</ns0:t>
        </ns0:is>
      </ns0:c>
      <ns0:c r="C238" t="inlineStr">
        <ns0:is>
          <ns0:t>South Texas Plumbing Contractors</ns0:t>
        </ns0:is>
      </ns0:c>
      <ns0:c r="D238" t="inlineStr">
        <ns0:is>
          <ns0:t>(956) 333-6935</ns0:t>
        </ns0:is>
      </ns0:c>
      <ns0:c r="F238" t="inlineStr">
        <ns0:is>
          <ns0:t>Laredo, TX</ns0:t>
        </ns0:is>
      </ns0:c>
      <ns0:c r="G238" t="inlineStr">
        <ns0:is>
          <ns0:t>4.6+/5</ns0:t>
        </ns0:is>
      </ns0:c>
      <ns0:c r="I238" t="inlineStr">
        <ns0:is>
          <ns0:t>YES</ns0:t>
        </ns0:is>
      </ns0:c>
      <ns0:c r="J238" t="str" s="1">
        <ns0:f>HYPERLINK("https://southtexas.com","southtexas.com")</ns0:f>
      </ns0:c>
      <ns0:c r="K238" t="inlineStr">
        <ns0:is>
          <ns0:t>Google</ns0:t>
        </ns0:is>
      </ns0:c>
    </ns0:row>
    <ns0:row r="239">
      <ns0:c r="A239" t="inlineStr">
        <ns0:is>
          <ns0:t>Lubbock</ns0:t>
        </ns0:is>
      </ns0:c>
      <ns0:c r="B239" t="inlineStr">
        <ns0:is>
          <ns0:t>TX</ns0:t>
        </ns0:is>
      </ns0:c>
      <ns0:c r="C239" t="inlineStr">
        <ns0:is>
          <ns0:t>Lubbock Plumbing TX</ns0:t>
        </ns0:is>
      </ns0:c>
      <ns0:c r="F239" t="inlineStr">
        <ns0:is>
          <ns0:t>Lubbock, TX</ns0:t>
        </ns0:is>
      </ns0:c>
      <ns0:c r="G239" t="inlineStr">
        <ns0:is>
          <ns0:t>4.6+/5</ns0:t>
        </ns0:is>
      </ns0:c>
      <ns0:c r="I239" t="inlineStr">
        <ns0:is>
          <ns0:t>YES</ns0:t>
        </ns0:is>
      </ns0:c>
      <ns0:c r="K239" t="inlineStr">
        <ns0:is>
          <ns0:t>Google</ns0:t>
        </ns0:is>
      </ns0:c>
    </ns0:row>
    <ns0:row r="240">
      <ns0:c r="A240" t="inlineStr">
        <ns0:is>
          <ns0:t>Madison</ns0:t>
        </ns0:is>
      </ns0:c>
      <ns0:c r="B240" t="inlineStr">
        <ns0:is>
          <ns0:t>WI</ns0:t>
        </ns0:is>
      </ns0:c>
      <ns0:c r="C240" t="inlineStr">
        <ns0:is>
          <ns0:t>Howe Brothers Plumbing LLC</ns0:t>
        </ns0:is>
      </ns0:c>
      <ns0:c r="D240" t="inlineStr">
        <ns0:is>
          <ns0:t>(608) 257-2884</ns0:t>
        </ns0:is>
      </ns0:c>
      <ns0:c r="F240" t="inlineStr">
        <ns0:is>
          <ns0:t>Madison, WI</ns0:t>
        </ns0:is>
      </ns0:c>
      <ns0:c r="G240" t="inlineStr">
        <ns0:is>
          <ns0:t>4.6+/5</ns0:t>
        </ns0:is>
      </ns0:c>
      <ns0:c r="I240" t="inlineStr">
        <ns0:is>
          <ns0:t>YES</ns0:t>
        </ns0:is>
      </ns0:c>
      <ns0:c r="K240" t="inlineStr">
        <ns0:is>
          <ns0:t>Google</ns0:t>
        </ns0:is>
      </ns0:c>
    </ns0:row>
  </ns0:sheetData>
</ns0:worksheet>
</file>

<file path=docProps/app.xml><?xml version="1.0" encoding="utf-8"?>
<Properties xmlns="http://schemas.openxmlformats.org/officeDocument/2006/extended-properties">
  <Application>Hermes Agent</Application>
</Properties>
</file>

<file path=docProps/core.xml><?xml version="1.0" encoding="utf-8"?>
<cp:coreProperties xmlns:cp="http://schemas.openxmlformats.org/package/2006/metadata/core-properties" xmlns:dc="http://purl.org/dc/elements/1.1/">
  <dc:title>Top 1000 US Cities - Plumbing</dc:title>
</cp:coreProperties>
</file>